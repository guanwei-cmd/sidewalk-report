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資料" sheetId="1" state="visible" r:id="rId1"/>
    <sheet xmlns:r="http://schemas.openxmlformats.org/officeDocument/2006/relationships" name="編碼架構" sheetId="2" state="visible" r:id="rId2"/>
    <sheet xmlns:r="http://schemas.openxmlformats.org/officeDocument/2006/relationships" name="編碼分析" sheetId="3" state="visible" r:id="rId3"/>
  </sheets>
  <definedNames>
    <definedName name="_xlnm._FilterDatabase" localSheetId="0" hidden="1">'原始資料'!$A$1:$L$61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  <font>
      <name val="Arial"/>
      <b val="1"/>
      <sz val="10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  <fill>
      <patternFill patternType="solid">
        <fgColor rgb="00F4CCCC"/>
        <bgColor rgb="00F4CCCC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2" pivotButton="0" quotePrefix="0" xfId="0"/>
    <xf numFmtId="0" fontId="5" fillId="0" borderId="2" pivotButton="0" quotePrefix="0" xfId="0"/>
    <xf numFmtId="164" fontId="5" fillId="0" borderId="2" pivotButton="0" quotePrefix="0" xfId="0"/>
    <xf numFmtId="0" fontId="1" fillId="2" borderId="0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4" fontId="5" fillId="0" borderId="0" pivotButton="0" quotePrefix="0" xfId="0"/>
    <xf numFmtId="3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tt.cc/bbs/Hsinchu/M.1733025008.A.934.html" TargetMode="External" Id="rId1"/><Relationship Type="http://schemas.openxmlformats.org/officeDocument/2006/relationships/hyperlink" Target="https://www.ptt.cc/bbs/Road/M.1659087904.A.EC6.html" TargetMode="External" Id="rId2"/><Relationship Type="http://schemas.openxmlformats.org/officeDocument/2006/relationships/hyperlink" Target="https://www.ptt.cc/bbs/Kaohsiung/M.1715248047.A.25C.html" TargetMode="External" Id="rId3"/><Relationship Type="http://schemas.openxmlformats.org/officeDocument/2006/relationships/hyperlink" Target="https://www.ptt.cc/bbs/WomenTalk/M.1701292817.A.D94.html" TargetMode="External" Id="rId4"/><Relationship Type="http://schemas.openxmlformats.org/officeDocument/2006/relationships/hyperlink" Target="https://www.ptt.cc/bbs/biker/M.1681403175.A.BE4.html" TargetMode="External" Id="rId5"/><Relationship Type="http://schemas.openxmlformats.org/officeDocument/2006/relationships/hyperlink" Target="https://www.ptt.cc/bbs/biker/M.1652932435.A.DA7.html" TargetMode="External" Id="rId6"/><Relationship Type="http://schemas.openxmlformats.org/officeDocument/2006/relationships/hyperlink" Target="https://www.dcard.tw/f/mood/p/259866980" TargetMode="External" Id="rId7"/><Relationship Type="http://schemas.openxmlformats.org/officeDocument/2006/relationships/hyperlink" Target="https://www.dcard.tw/f/talk/p/254614839" TargetMode="External" Id="rId8"/><Relationship Type="http://schemas.openxmlformats.org/officeDocument/2006/relationships/hyperlink" Target="https://www.dcard.tw/f/mood/p/229321860" TargetMode="External" Id="rId9"/><Relationship Type="http://schemas.openxmlformats.org/officeDocument/2006/relationships/hyperlink" Target="https://www.dcard.tw/f/ncku/p/242391089" TargetMode="External" Id="rId10"/><Relationship Type="http://schemas.openxmlformats.org/officeDocument/2006/relationships/hyperlink" Target="https://www.dcard.tw/f/ncku/p/240225089" TargetMode="External" Id="rId11"/><Relationship Type="http://schemas.openxmlformats.org/officeDocument/2006/relationships/hyperlink" Target="https://www.dcard.tw/f/vehicle/p/256482507" TargetMode="External" Id="rId12"/><Relationship Type="http://schemas.openxmlformats.org/officeDocument/2006/relationships/hyperlink" Target="https://www.threads.com/@wonmon5/post/C9wUMqISFU3" TargetMode="External" Id="rId13"/><Relationship Type="http://schemas.openxmlformats.org/officeDocument/2006/relationships/hyperlink" Target="https://www.threads.com/@sightiffick/post/DGIE-TdPG9j/" TargetMode="External" Id="rId14"/><Relationship Type="http://schemas.openxmlformats.org/officeDocument/2006/relationships/hyperlink" Target="https://www.threads.com/@doreeeeeeeeeeeen/post/DFteMrih_6k" TargetMode="External" Id="rId15"/><Relationship Type="http://schemas.openxmlformats.org/officeDocument/2006/relationships/hyperlink" Target="https://www.dcard.tw/f/vehicle/p/236756672" TargetMode="External" Id="rId16"/><Relationship Type="http://schemas.openxmlformats.org/officeDocument/2006/relationships/hyperlink" Target="https://www.mobile01.com/topicdetail.php?f=294&amp;t=6714823" TargetMode="External" Id="rId17"/><Relationship Type="http://schemas.openxmlformats.org/officeDocument/2006/relationships/hyperlink" Target="https://www.ptt.cc/bbs/ShuangHe/M.1707044476.A.B55.html" TargetMode="External" Id="rId18"/><Relationship Type="http://schemas.openxmlformats.org/officeDocument/2006/relationships/hyperlink" Target="https://www.ptt.cc/bbs/Tainan/M.1654617893.A.048.html" TargetMode="External" Id="rId19"/><Relationship Type="http://schemas.openxmlformats.org/officeDocument/2006/relationships/hyperlink" Target="https://www.ptt.cc/bbs/TaichungBun/M.1678258216.A.83F.html" TargetMode="External" Id="rId20"/><Relationship Type="http://schemas.openxmlformats.org/officeDocument/2006/relationships/hyperlink" Target="https://www.mobile01.com/topicdetail.php?f=37&amp;t=6035881" TargetMode="External" Id="rId21"/><Relationship Type="http://schemas.openxmlformats.org/officeDocument/2006/relationships/hyperlink" Target="https://www.dcard.tw/f/mood/p/232161658" TargetMode="External" Id="rId22"/><Relationship Type="http://schemas.openxmlformats.org/officeDocument/2006/relationships/hyperlink" Target="https://www.dcard.tw/f/talk/p/240429608" TargetMode="External" Id="rId23"/><Relationship Type="http://schemas.openxmlformats.org/officeDocument/2006/relationships/hyperlink" Target="https://www.youtube.com/watch?v=6MvYz8gfAfI" TargetMode="External" Id="rId24"/><Relationship Type="http://schemas.openxmlformats.org/officeDocument/2006/relationships/hyperlink" Target="https://www.ptt.cc/bbs/Gossiping/M.1721106452.A.CA0.html" TargetMode="External" Id="rId25"/><Relationship Type="http://schemas.openxmlformats.org/officeDocument/2006/relationships/hyperlink" Target="https://www.ptt.cc/bbs/WomenTalk/M.1722500270.A.D37.html" TargetMode="External" Id="rId26"/><Relationship Type="http://schemas.openxmlformats.org/officeDocument/2006/relationships/hyperlink" Target="https://www.ptt.cc/bbs/Taoyuan/M.1692004313.A.C4A.html" TargetMode="External" Id="rId27"/><Relationship Type="http://schemas.openxmlformats.org/officeDocument/2006/relationships/hyperlink" Target="https://www.ptt.cc/bbs/TaichungBun/M.1698501350.A.27B.html" TargetMode="External" Id="rId28"/><Relationship Type="http://schemas.openxmlformats.org/officeDocument/2006/relationships/hyperlink" Target="https://www.dcard.tw/f/mood/p/235324352" TargetMode="External" Id="rId29"/><Relationship Type="http://schemas.openxmlformats.org/officeDocument/2006/relationships/hyperlink" Target="https://www.dcard.tw/f/talk/p/256379249" TargetMode="External" Id="rId30"/><Relationship Type="http://schemas.openxmlformats.org/officeDocument/2006/relationships/hyperlink" Target="https://www.dcard.tw/f/freshman/p/239233088" TargetMode="External" Id="rId31"/><Relationship Type="http://schemas.openxmlformats.org/officeDocument/2006/relationships/hyperlink" Target="https://www.dcard.tw/f/vehicle/p/231229443" TargetMode="External" Id="rId32"/><Relationship Type="http://schemas.openxmlformats.org/officeDocument/2006/relationships/hyperlink" Target="https://www.threads.com/@d.p.willy/post/DJ1sPjHSRXF" TargetMode="External" Id="rId33"/><Relationship Type="http://schemas.openxmlformats.org/officeDocument/2006/relationships/hyperlink" Target="https://www.ptt.cc/bbs/Hsinchu/M.1687913093.A.206.html" TargetMode="External" Id="rId34"/><Relationship Type="http://schemas.openxmlformats.org/officeDocument/2006/relationships/hyperlink" Target="https://www.ptt.cc/bbs/car/M.1686244646.A.BB5.html" TargetMode="External" Id="rId35"/><Relationship Type="http://schemas.openxmlformats.org/officeDocument/2006/relationships/hyperlink" Target="https://www.ptt.cc/bbs/home-sale/M.1737985112.A.009.html" TargetMode="External" Id="rId36"/><Relationship Type="http://schemas.openxmlformats.org/officeDocument/2006/relationships/hyperlink" Target="https://news.pts.org.tw/article/523348" TargetMode="External" Id="rId37"/><Relationship Type="http://schemas.openxmlformats.org/officeDocument/2006/relationships/hyperlink" Target="https://www.chinatimes.com/newspapers/20230306000618-260106" TargetMode="External" Id="rId38"/><Relationship Type="http://schemas.openxmlformats.org/officeDocument/2006/relationships/hyperlink" Target="https://eyesonplace.net/2020/11/25/15768/" TargetMode="External" Id="rId39"/><Relationship Type="http://schemas.openxmlformats.org/officeDocument/2006/relationships/hyperlink" Target="https://www.threads.com/@motorisland1688/post/C_N6fWTS65G" TargetMode="External" Id="rId40"/><Relationship Type="http://schemas.openxmlformats.org/officeDocument/2006/relationships/hyperlink" Target="https://tw.news.yahoo.com/" TargetMode="External" Id="rId41"/><Relationship Type="http://schemas.openxmlformats.org/officeDocument/2006/relationships/hyperlink" Target="https://www.threads.com/@vision.zero.tainan/post/DGTXRpKyIH5" TargetMode="External" Id="rId42"/><Relationship Type="http://schemas.openxmlformats.org/officeDocument/2006/relationships/hyperlink" Target="https://www.threads.com/@capybara_1204/post/DYb7Vvaj3Y4" TargetMode="External" Id="rId43"/><Relationship Type="http://schemas.openxmlformats.org/officeDocument/2006/relationships/hyperlink" Target="https://www.mobile01.com/topicdetail.php?f=294&amp;t=6820302" TargetMode="External" Id="rId44"/><Relationship Type="http://schemas.openxmlformats.org/officeDocument/2006/relationships/hyperlink" Target="https://www.mobile01.com/topicdetail.php?f=294&amp;t=7123594" TargetMode="External" Id="rId45"/><Relationship Type="http://schemas.openxmlformats.org/officeDocument/2006/relationships/hyperlink" Target="https://join.gov.tw/idea/detail/afb88ade-b064-46ea-8d28-fe5afe75be1a" TargetMode="External" Id="rId46"/><Relationship Type="http://schemas.openxmlformats.org/officeDocument/2006/relationships/hyperlink" Target="https://edh.tw/lohas/article/30613" TargetMode="External" Id="rId47"/><Relationship Type="http://schemas.openxmlformats.org/officeDocument/2006/relationships/hyperlink" Target="https://www.ptt.cc/bbs/Kaohsiung/M.1718881386.A.84E.html" TargetMode="External" Id="rId48"/><Relationship Type="http://schemas.openxmlformats.org/officeDocument/2006/relationships/hyperlink" Target="https://www.pttweb.cc/bbs/Gossiping/M.1776396587.A.227" TargetMode="External" Id="rId49"/><Relationship Type="http://schemas.openxmlformats.org/officeDocument/2006/relationships/hyperlink" Target="https://www.pttweb.cc/bbs/Gossiping/M.1729266115.A.C5D" TargetMode="External" Id="rId50"/><Relationship Type="http://schemas.openxmlformats.org/officeDocument/2006/relationships/hyperlink" Target="https://www.dcard.tw/f/trending/p/241658501" TargetMode="External" Id="rId51"/><Relationship Type="http://schemas.openxmlformats.org/officeDocument/2006/relationships/hyperlink" Target="https://www.threads.com/@yiyeyes/post/DH8PTc-z0ZI/" TargetMode="External" Id="rId52"/><Relationship Type="http://schemas.openxmlformats.org/officeDocument/2006/relationships/hyperlink" Target="https://rightplus.org/2023/08/03/environmental-barrier/" TargetMode="External" Id="rId53"/><Relationship Type="http://schemas.openxmlformats.org/officeDocument/2006/relationships/hyperlink" Target="https://udn.com/news/story/7266/7678279" TargetMode="External" Id="rId54"/><Relationship Type="http://schemas.openxmlformats.org/officeDocument/2006/relationships/hyperlink" Target="https://udn.com/news/story/7321/9450115" TargetMode="External" Id="rId55"/><Relationship Type="http://schemas.openxmlformats.org/officeDocument/2006/relationships/hyperlink" Target="https://news.ltn.com.tw/news/Pingtung/breakingnews/5486520" TargetMode="External" Id="rId56"/><Relationship Type="http://schemas.openxmlformats.org/officeDocument/2006/relationships/hyperlink" Target="https://udn.com/news/story/7327/8739411" TargetMode="External" Id="rId57"/><Relationship Type="http://schemas.openxmlformats.org/officeDocument/2006/relationships/hyperlink" Target="https://www.cna.com.tw/news/aloc/202305080237.aspx" TargetMode="External" Id="rId58"/><Relationship Type="http://schemas.openxmlformats.org/officeDocument/2006/relationships/hyperlink" Target="https://udn.com/news/story/7323/9284448" TargetMode="External" Id="rId59"/><Relationship Type="http://schemas.openxmlformats.org/officeDocument/2006/relationships/hyperlink" Target="https://newtalk.tw/news/view/2020-10-29/486432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16" customWidth="1" min="5" max="5"/>
    <col width="46" customWidth="1" min="6" max="6"/>
    <col width="42" customWidth="1" min="7" max="7"/>
    <col width="12" customWidth="1" min="8" max="8"/>
    <col width="10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編號</t>
        </is>
      </c>
      <c r="B1" s="1" t="inlineStr">
        <is>
          <t>一級類別代碼</t>
        </is>
      </c>
      <c r="C1" s="1" t="inlineStr">
        <is>
          <t>平台(細)</t>
        </is>
      </c>
      <c r="D1" s="1" t="inlineStr">
        <is>
          <t>平台(歸類)</t>
        </is>
      </c>
      <c r="E1" s="1" t="inlineStr">
        <is>
          <t>來源版/帳號</t>
        </is>
      </c>
      <c r="F1" s="1" t="inlineStr">
        <is>
          <t>標題／抱怨重點</t>
        </is>
      </c>
      <c r="G1" s="1" t="inlineStr">
        <is>
          <t>連結</t>
        </is>
      </c>
      <c r="H1" s="1" t="inlineStr">
        <is>
          <t>時間</t>
        </is>
      </c>
      <c r="I1" s="1" t="inlineStr">
        <is>
          <t>熱度(讚數)</t>
        </is>
      </c>
      <c r="J1" s="1" t="inlineStr">
        <is>
          <t>立場</t>
        </is>
      </c>
      <c r="K1" s="1" t="inlineStr">
        <is>
          <t>情緒框架</t>
        </is>
      </c>
      <c r="L1" s="1" t="inlineStr">
        <is>
          <t>信度標記</t>
        </is>
      </c>
    </row>
    <row r="2">
      <c r="A2" s="2" t="n">
        <v>1</v>
      </c>
      <c r="B2" s="3" t="inlineStr">
        <is>
          <t>A</t>
        </is>
      </c>
      <c r="C2" s="2" t="inlineStr">
        <is>
          <t>PTT 新竹板</t>
        </is>
      </c>
      <c r="D2" s="2" t="inlineStr">
        <is>
          <t>PTT</t>
        </is>
      </c>
      <c r="E2" s="2" t="inlineStr">
        <is>
          <t>Hsinchu板</t>
        </is>
      </c>
      <c r="F2" s="4" t="inlineStr">
        <is>
          <t>怎麼整治騎在人行道的機車（點名外送員、檢舉舉證難）</t>
        </is>
      </c>
      <c r="G2" s="5" t="inlineStr">
        <is>
          <t>https://www.ptt.cc/bbs/Hsinchu/M.1733025008.A.934.html</t>
        </is>
      </c>
      <c r="H2" s="2" t="inlineStr">
        <is>
          <t>2024-12</t>
        </is>
      </c>
      <c r="I2" s="2" t="n"/>
      <c r="J2" s="2" t="inlineStr">
        <is>
          <t>行人路權方</t>
        </is>
      </c>
      <c r="K2" s="2" t="inlineStr">
        <is>
          <t>無力感</t>
        </is>
      </c>
      <c r="L2" s="2" t="inlineStr">
        <is>
          <t>原站可查核</t>
        </is>
      </c>
    </row>
    <row r="3">
      <c r="A3" s="2" t="n">
        <v>2</v>
      </c>
      <c r="B3" s="3" t="inlineStr">
        <is>
          <t>A</t>
        </is>
      </c>
      <c r="C3" s="2" t="inlineStr">
        <is>
          <t>PTT Road板</t>
        </is>
      </c>
      <c r="D3" s="2" t="inlineStr">
        <is>
          <t>PTT</t>
        </is>
      </c>
      <c r="E3" s="2" t="inlineStr">
        <is>
          <t>Road板</t>
        </is>
      </c>
      <c r="F3" s="4" t="inlineStr">
        <is>
          <t>駕駛人無視 人行道淪「汽機車道」（無高低差、要求物理隔離）</t>
        </is>
      </c>
      <c r="G3" s="5" t="inlineStr">
        <is>
          <t>https://www.ptt.cc/bbs/Road/M.1659087904.A.EC6.html</t>
        </is>
      </c>
      <c r="H3" s="2" t="inlineStr">
        <is>
          <t>2022-07</t>
        </is>
      </c>
      <c r="I3" s="2" t="n"/>
      <c r="J3" s="2" t="inlineStr">
        <is>
          <t>行人路權方</t>
        </is>
      </c>
      <c r="K3" s="2" t="inlineStr">
        <is>
          <t>憤怒</t>
        </is>
      </c>
      <c r="L3" s="2" t="inlineStr">
        <is>
          <t>原站可查核</t>
        </is>
      </c>
    </row>
    <row r="4">
      <c r="A4" s="2" t="n">
        <v>3</v>
      </c>
      <c r="B4" s="3" t="inlineStr">
        <is>
          <t>A</t>
        </is>
      </c>
      <c r="C4" s="2" t="inlineStr">
        <is>
          <t>PTT 高雄板</t>
        </is>
      </c>
      <c r="D4" s="2" t="inlineStr">
        <is>
          <t>PTT</t>
        </is>
      </c>
      <c r="E4" s="2" t="inlineStr">
        <is>
          <t>Kaohsiung板</t>
        </is>
      </c>
      <c r="F4" s="4" t="inlineStr">
        <is>
          <t>瑞隆路重鋪後騎車更危險（違停未取締是主因）</t>
        </is>
      </c>
      <c r="G4" s="5" t="inlineStr">
        <is>
          <t>https://www.ptt.cc/bbs/Kaohsiung/M.1715248047.A.25C.html</t>
        </is>
      </c>
      <c r="H4" s="2" t="inlineStr">
        <is>
          <t>2024-05</t>
        </is>
      </c>
      <c r="I4" s="2" t="n"/>
      <c r="J4" s="2" t="inlineStr">
        <is>
          <t>機車騎士方</t>
        </is>
      </c>
      <c r="K4" s="2" t="inlineStr">
        <is>
          <t>無力感</t>
        </is>
      </c>
      <c r="L4" s="2" t="inlineStr">
        <is>
          <t>原站可查核</t>
        </is>
      </c>
    </row>
    <row r="5">
      <c r="A5" s="2" t="n">
        <v>4</v>
      </c>
      <c r="B5" s="3" t="inlineStr">
        <is>
          <t>A</t>
        </is>
      </c>
      <c r="C5" s="2" t="inlineStr">
        <is>
          <t>PTT WomenTalk</t>
        </is>
      </c>
      <c r="D5" s="2" t="inlineStr">
        <is>
          <t>PTT</t>
        </is>
      </c>
      <c r="E5" s="2" t="inlineStr">
        <is>
          <t>WomenTalk板</t>
        </is>
      </c>
      <c r="F5" s="4" t="inlineStr">
        <is>
          <t>自行車不能騎在人行道上（按鈴驅趕行人）</t>
        </is>
      </c>
      <c r="G5" s="5" t="inlineStr">
        <is>
          <t>https://www.ptt.cc/bbs/WomenTalk/M.1701292817.A.D94.html</t>
        </is>
      </c>
      <c r="H5" s="2" t="inlineStr">
        <is>
          <t>2023-11</t>
        </is>
      </c>
      <c r="I5" s="2" t="n"/>
      <c r="J5" s="2" t="inlineStr">
        <is>
          <t>行人路權方</t>
        </is>
      </c>
      <c r="K5" s="2" t="inlineStr">
        <is>
          <t>憤怒</t>
        </is>
      </c>
      <c r="L5" s="2" t="inlineStr">
        <is>
          <t>原站可查核</t>
        </is>
      </c>
    </row>
    <row r="6">
      <c r="A6" s="2" t="n">
        <v>5</v>
      </c>
      <c r="B6" s="3" t="inlineStr">
        <is>
          <t>A</t>
        </is>
      </c>
      <c r="C6" s="2" t="inlineStr">
        <is>
          <t>PTT biker板</t>
        </is>
      </c>
      <c r="D6" s="2" t="inlineStr">
        <is>
          <t>PTT</t>
        </is>
      </c>
      <c r="E6" s="2" t="inlineStr">
        <is>
          <t>biker板</t>
        </is>
      </c>
      <c r="F6" s="4" t="inlineStr">
        <is>
          <t>人行道上的機車格（牽車出格被開單、選擇性執法）</t>
        </is>
      </c>
      <c r="G6" s="5" t="inlineStr">
        <is>
          <t>https://www.ptt.cc/bbs/biker/M.1681403175.A.BE4.html</t>
        </is>
      </c>
      <c r="H6" s="2" t="inlineStr">
        <is>
          <t>2023-04</t>
        </is>
      </c>
      <c r="I6" s="2" t="n"/>
      <c r="J6" s="2" t="inlineStr">
        <is>
          <t>機車騎士方</t>
        </is>
      </c>
      <c r="K6" s="2" t="inlineStr">
        <is>
          <t>無力感</t>
        </is>
      </c>
      <c r="L6" s="2" t="inlineStr">
        <is>
          <t>原站可查核</t>
        </is>
      </c>
    </row>
    <row r="7">
      <c r="A7" s="2" t="n">
        <v>6</v>
      </c>
      <c r="B7" s="3" t="inlineStr">
        <is>
          <t>A</t>
        </is>
      </c>
      <c r="C7" s="2" t="inlineStr">
        <is>
          <t>PTT biker板</t>
        </is>
      </c>
      <c r="D7" s="2" t="inlineStr">
        <is>
          <t>PTT</t>
        </is>
      </c>
      <c r="E7" s="2" t="inlineStr">
        <is>
          <t>biker板</t>
        </is>
      </c>
      <c r="F7" s="4" t="inlineStr">
        <is>
          <t>停騎樓還是人行道（機車族無處可停的兩難）</t>
        </is>
      </c>
      <c r="G7" s="5" t="inlineStr">
        <is>
          <t>https://www.ptt.cc/bbs/biker/M.1652932435.A.DA7.html</t>
        </is>
      </c>
      <c r="H7" s="2" t="inlineStr">
        <is>
          <t>2022-05</t>
        </is>
      </c>
      <c r="I7" s="2" t="n"/>
      <c r="J7" s="2" t="inlineStr">
        <is>
          <t>機車騎士方</t>
        </is>
      </c>
      <c r="K7" s="2" t="inlineStr">
        <is>
          <t>無力感</t>
        </is>
      </c>
      <c r="L7" s="2" t="inlineStr">
        <is>
          <t>原站可查核</t>
        </is>
      </c>
    </row>
    <row r="8">
      <c r="A8" s="2" t="n">
        <v>7</v>
      </c>
      <c r="B8" s="3" t="inlineStr">
        <is>
          <t>A</t>
        </is>
      </c>
      <c r="C8" s="2" t="inlineStr">
        <is>
          <t>Dcard 心情板</t>
        </is>
      </c>
      <c r="D8" s="2" t="inlineStr">
        <is>
          <t>Dcard</t>
        </is>
      </c>
      <c r="E8" s="2" t="inlineStr">
        <is>
          <t>mood板</t>
        </is>
      </c>
      <c r="F8" s="4" t="inlineStr">
        <is>
          <t>台灣人違停比起紅線更愛停人行道的邏輯</t>
        </is>
      </c>
      <c r="G8" s="5" t="inlineStr">
        <is>
          <t>https://www.dcard.tw/f/mood/p/259866980</t>
        </is>
      </c>
      <c r="H8" s="2" t="inlineStr">
        <is>
          <t>約2025</t>
        </is>
      </c>
      <c r="I8" s="2" t="n"/>
      <c r="J8" s="2" t="inlineStr">
        <is>
          <t>行人路權方</t>
        </is>
      </c>
      <c r="K8" s="2" t="inlineStr">
        <is>
          <t>憤怒</t>
        </is>
      </c>
      <c r="L8" s="2" t="inlineStr">
        <is>
          <t>摘要</t>
        </is>
      </c>
    </row>
    <row r="9">
      <c r="A9" s="2" t="n">
        <v>8</v>
      </c>
      <c r="B9" s="3" t="inlineStr">
        <is>
          <t>A</t>
        </is>
      </c>
      <c r="C9" s="2" t="inlineStr">
        <is>
          <t>Dcard 閒聊板</t>
        </is>
      </c>
      <c r="D9" s="2" t="inlineStr">
        <is>
          <t>Dcard</t>
        </is>
      </c>
      <c r="E9" s="2" t="inlineStr">
        <is>
          <t>talk板</t>
        </is>
      </c>
      <c r="F9" s="4" t="inlineStr">
        <is>
          <t>人行道機車格，你用騎的還用牽的？</t>
        </is>
      </c>
      <c r="G9" s="5" t="inlineStr">
        <is>
          <t>https://www.dcard.tw/f/talk/p/254614839</t>
        </is>
      </c>
      <c r="H9" s="2" t="inlineStr">
        <is>
          <t>約2024</t>
        </is>
      </c>
      <c r="I9" s="2" t="n"/>
      <c r="J9" s="2" t="inlineStr">
        <is>
          <t>機車騎士方</t>
        </is>
      </c>
      <c r="K9" s="2" t="inlineStr">
        <is>
          <t>嘲諷/迷因化</t>
        </is>
      </c>
      <c r="L9" s="2" t="inlineStr">
        <is>
          <t>摘要</t>
        </is>
      </c>
    </row>
    <row r="10">
      <c r="A10" s="2" t="n">
        <v>9</v>
      </c>
      <c r="B10" s="3" t="inlineStr">
        <is>
          <t>A</t>
        </is>
      </c>
      <c r="C10" s="2" t="inlineStr">
        <is>
          <t>Dcard 心情板</t>
        </is>
      </c>
      <c r="D10" s="2" t="inlineStr">
        <is>
          <t>Dcard</t>
        </is>
      </c>
      <c r="E10" s="2" t="inlineStr">
        <is>
          <t>mood板</t>
        </is>
      </c>
      <c r="F10" s="4" t="inlineStr">
        <is>
          <t>機車格畫在人行道到底是怎樣</t>
        </is>
      </c>
      <c r="G10" s="5" t="inlineStr">
        <is>
          <t>https://www.dcard.tw/f/mood/p/229321860</t>
        </is>
      </c>
      <c r="H10" s="2" t="inlineStr">
        <is>
          <t>約2019-20</t>
        </is>
      </c>
      <c r="I10" s="2" t="n"/>
      <c r="J10" s="2" t="inlineStr">
        <is>
          <t>行人路權方</t>
        </is>
      </c>
      <c r="K10" s="2" t="inlineStr">
        <is>
          <t>憤怒</t>
        </is>
      </c>
      <c r="L10" s="2" t="inlineStr">
        <is>
          <t>摘要</t>
        </is>
      </c>
    </row>
    <row r="11">
      <c r="A11" s="2" t="n">
        <v>10</v>
      </c>
      <c r="B11" s="3" t="inlineStr">
        <is>
          <t>A</t>
        </is>
      </c>
      <c r="C11" s="2" t="inlineStr">
        <is>
          <t>Dcard 成大板</t>
        </is>
      </c>
      <c r="D11" s="2" t="inlineStr">
        <is>
          <t>Dcard</t>
        </is>
      </c>
      <c r="E11" s="2" t="inlineStr">
        <is>
          <t>ncku板</t>
        </is>
      </c>
      <c r="F11" s="4" t="inlineStr">
        <is>
          <t>最簡單檢舉機車騎人行道的流程（學生自力救濟教學）</t>
        </is>
      </c>
      <c r="G11" s="5" t="inlineStr">
        <is>
          <t>https://www.dcard.tw/f/ncku/p/242391089</t>
        </is>
      </c>
      <c r="H11" s="2" t="inlineStr">
        <is>
          <t>約2023</t>
        </is>
      </c>
      <c r="I11" s="2" t="n"/>
      <c r="J11" s="2" t="inlineStr">
        <is>
          <t>行人路權方</t>
        </is>
      </c>
      <c r="K11" s="2" t="inlineStr">
        <is>
          <t>無力感</t>
        </is>
      </c>
      <c r="L11" s="2" t="inlineStr">
        <is>
          <t>摘要</t>
        </is>
      </c>
    </row>
    <row r="12">
      <c r="A12" s="2" t="n">
        <v>11</v>
      </c>
      <c r="B12" s="3" t="inlineStr">
        <is>
          <t>A</t>
        </is>
      </c>
      <c r="C12" s="2" t="inlineStr">
        <is>
          <t>Dcard 成大板</t>
        </is>
      </c>
      <c r="D12" s="2" t="inlineStr">
        <is>
          <t>Dcard</t>
        </is>
      </c>
      <c r="E12" s="2" t="inlineStr">
        <is>
          <t>ncku板</t>
        </is>
      </c>
      <c r="F12" s="4" t="inlineStr">
        <is>
          <t>機車與人行道（呼籲尊重行人路權）</t>
        </is>
      </c>
      <c r="G12" s="5" t="inlineStr">
        <is>
          <t>https://www.dcard.tw/f/ncku/p/240225089</t>
        </is>
      </c>
      <c r="H12" s="2" t="inlineStr">
        <is>
          <t>約2023</t>
        </is>
      </c>
      <c r="I12" s="2" t="n"/>
      <c r="J12" s="2" t="inlineStr">
        <is>
          <t>行人路權方</t>
        </is>
      </c>
      <c r="K12" s="2" t="inlineStr">
        <is>
          <t>憤怒</t>
        </is>
      </c>
      <c r="L12" s="2" t="inlineStr">
        <is>
          <t>摘要</t>
        </is>
      </c>
    </row>
    <row r="13">
      <c r="A13" s="2" t="n">
        <v>12</v>
      </c>
      <c r="B13" s="3" t="inlineStr">
        <is>
          <t>A</t>
        </is>
      </c>
      <c r="C13" s="2" t="inlineStr">
        <is>
          <t>Dcard 機車板</t>
        </is>
      </c>
      <c r="D13" s="2" t="inlineStr">
        <is>
          <t>Dcard</t>
        </is>
      </c>
      <c r="E13" s="2" t="inlineStr">
        <is>
          <t>vehicle板</t>
        </is>
      </c>
      <c r="F13" s="4" t="inlineStr">
        <is>
          <t>關於人行道上的停車格（設計逼人騎上人行道）</t>
        </is>
      </c>
      <c r="G13" s="5" t="inlineStr">
        <is>
          <t>https://www.dcard.tw/f/vehicle/p/256482507</t>
        </is>
      </c>
      <c r="H13" s="2" t="inlineStr">
        <is>
          <t>約2024-25</t>
        </is>
      </c>
      <c r="I13" s="2" t="n"/>
      <c r="J13" s="2" t="inlineStr">
        <is>
          <t>機車騎士方</t>
        </is>
      </c>
      <c r="K13" s="2" t="inlineStr">
        <is>
          <t>無力感</t>
        </is>
      </c>
      <c r="L13" s="2" t="inlineStr">
        <is>
          <t>摘要</t>
        </is>
      </c>
    </row>
    <row r="14">
      <c r="A14" s="2" t="n">
        <v>13</v>
      </c>
      <c r="B14" s="3" t="inlineStr">
        <is>
          <t>A</t>
        </is>
      </c>
      <c r="C14" s="2" t="inlineStr">
        <is>
          <t>Threads</t>
        </is>
      </c>
      <c r="D14" s="2" t="inlineStr">
        <is>
          <t>Threads</t>
        </is>
      </c>
      <c r="E14" s="2" t="inlineStr">
        <is>
          <t>@wonmon5</t>
        </is>
      </c>
      <c r="F14" s="4" t="inlineStr">
        <is>
          <t>機車在人行道「用腳滑不行嗎」（騎士方挑釁）</t>
        </is>
      </c>
      <c r="G14" s="5" t="inlineStr">
        <is>
          <t>https://www.threads.com/@wonmon5/post/C9wUMqISFU3</t>
        </is>
      </c>
      <c r="H14" s="2" t="inlineStr">
        <is>
          <t>2024-07-22</t>
        </is>
      </c>
      <c r="I14" s="6" t="n">
        <v>263</v>
      </c>
      <c r="J14" s="2" t="inlineStr">
        <is>
          <t>機車騎士方</t>
        </is>
      </c>
      <c r="K14" s="2" t="inlineStr">
        <is>
          <t>嘲諷/迷因化</t>
        </is>
      </c>
      <c r="L14" s="2" t="inlineStr">
        <is>
          <t>全文</t>
        </is>
      </c>
    </row>
    <row r="15">
      <c r="A15" s="2" t="n">
        <v>14</v>
      </c>
      <c r="B15" s="7" t="inlineStr">
        <is>
          <t>B</t>
        </is>
      </c>
      <c r="C15" s="2" t="inlineStr">
        <is>
          <t>Threads</t>
        </is>
      </c>
      <c r="D15" s="2" t="inlineStr">
        <is>
          <t>Threads</t>
        </is>
      </c>
      <c r="E15" s="2" t="inlineStr">
        <is>
          <t>@sightiffick</t>
        </is>
      </c>
      <c r="F15" s="4" t="inlineStr">
        <is>
          <t>車停人行道，行人只能走馬路，明明有停車格</t>
        </is>
      </c>
      <c r="G15" s="5" t="inlineStr">
        <is>
          <t>https://www.threads.com/@sightiffick/post/DGIE-TdPG9j/</t>
        </is>
      </c>
      <c r="H15" s="2" t="inlineStr">
        <is>
          <t>2025-02-16</t>
        </is>
      </c>
      <c r="I15" s="6" t="n">
        <v>10400</v>
      </c>
      <c r="J15" s="2" t="inlineStr">
        <is>
          <t>行人路權方</t>
        </is>
      </c>
      <c r="K15" s="2" t="inlineStr">
        <is>
          <t>憤怒</t>
        </is>
      </c>
      <c r="L15" s="2" t="inlineStr">
        <is>
          <t>全文</t>
        </is>
      </c>
    </row>
    <row r="16">
      <c r="A16" s="2" t="n">
        <v>15</v>
      </c>
      <c r="B16" s="7" t="inlineStr">
        <is>
          <t>B</t>
        </is>
      </c>
      <c r="C16" s="2" t="inlineStr">
        <is>
          <t>Threads</t>
        </is>
      </c>
      <c r="D16" s="2" t="inlineStr">
        <is>
          <t>Threads</t>
        </is>
      </c>
      <c r="E16" s="2" t="inlineStr">
        <is>
          <t>@doreeeeeeeeeeeen</t>
        </is>
      </c>
      <c r="F16" s="4" t="inlineStr">
        <is>
          <t>車停斑馬線逾十分鐘，因檢舉限縮無法證明時間軸</t>
        </is>
      </c>
      <c r="G16" s="5" t="inlineStr">
        <is>
          <t>https://www.threads.com/@doreeeeeeeeeeeen/post/DFteMrih_6k</t>
        </is>
      </c>
      <c r="H16" s="2" t="inlineStr">
        <is>
          <t>2025-02-05</t>
        </is>
      </c>
      <c r="I16" s="6" t="n">
        <v>51</v>
      </c>
      <c r="J16" s="2" t="inlineStr">
        <is>
          <t>行人路權方</t>
        </is>
      </c>
      <c r="K16" s="2" t="inlineStr">
        <is>
          <t>無力感</t>
        </is>
      </c>
      <c r="L16" s="2" t="inlineStr">
        <is>
          <t>全文</t>
        </is>
      </c>
    </row>
    <row r="17">
      <c r="A17" s="2" t="n">
        <v>16</v>
      </c>
      <c r="B17" s="7" t="inlineStr">
        <is>
          <t>B</t>
        </is>
      </c>
      <c r="C17" s="2" t="inlineStr">
        <is>
          <t>Dcard 機車板</t>
        </is>
      </c>
      <c r="D17" s="2" t="inlineStr">
        <is>
          <t>Dcard</t>
        </is>
      </c>
      <c r="E17" s="2" t="inlineStr">
        <is>
          <t>vehicle板</t>
        </is>
      </c>
      <c r="F17" s="4" t="inlineStr">
        <is>
          <t>婦人待轉區當車格，勸導後改停人行道</t>
        </is>
      </c>
      <c r="G17" s="5" t="inlineStr">
        <is>
          <t>https://www.dcard.tw/f/vehicle/p/236756672</t>
        </is>
      </c>
      <c r="H17" s="2" t="inlineStr">
        <is>
          <t>約2021</t>
        </is>
      </c>
      <c r="I17" s="2" t="n"/>
      <c r="J17" s="2" t="inlineStr">
        <is>
          <t>中立敘事</t>
        </is>
      </c>
      <c r="K17" s="2" t="inlineStr">
        <is>
          <t>無力感</t>
        </is>
      </c>
      <c r="L17" s="2" t="inlineStr">
        <is>
          <t>摘要</t>
        </is>
      </c>
    </row>
    <row r="18">
      <c r="A18" s="2" t="n">
        <v>17</v>
      </c>
      <c r="B18" s="7" t="inlineStr">
        <is>
          <t>B</t>
        </is>
      </c>
      <c r="C18" s="2" t="inlineStr">
        <is>
          <t>Mobile01 汽車版</t>
        </is>
      </c>
      <c r="D18" s="2" t="inlineStr">
        <is>
          <t>Mobile01</t>
        </is>
      </c>
      <c r="E18" s="2" t="inlineStr">
        <is>
          <t>汽車消費經驗分享版</t>
        </is>
      </c>
      <c r="F18" s="4" t="inlineStr">
        <is>
          <t>人行道違停無法檢舉／立委喊恢復檢舉</t>
        </is>
      </c>
      <c r="G18" s="5" t="inlineStr">
        <is>
          <t>https://www.mobile01.com/topicdetail.php?f=294&amp;t=6714823</t>
        </is>
      </c>
      <c r="H18" s="2" t="inlineStr">
        <is>
          <t>2023初/2024-06</t>
        </is>
      </c>
      <c r="I18" s="2" t="n"/>
      <c r="J18" s="2" t="inlineStr">
        <is>
          <t>行人路權方</t>
        </is>
      </c>
      <c r="K18" s="2" t="inlineStr">
        <is>
          <t>無力感</t>
        </is>
      </c>
      <c r="L18" s="2" t="inlineStr">
        <is>
          <t>摘要</t>
        </is>
      </c>
    </row>
    <row r="19">
      <c r="A19" s="2" t="n">
        <v>18</v>
      </c>
      <c r="B19" s="8" t="inlineStr">
        <is>
          <t>C</t>
        </is>
      </c>
      <c r="C19" s="2" t="inlineStr">
        <is>
          <t>PTT 雙和板</t>
        </is>
      </c>
      <c r="D19" s="2" t="inlineStr">
        <is>
          <t>PTT</t>
        </is>
      </c>
      <c r="E19" s="2" t="inlineStr">
        <is>
          <t>ShuangHe板</t>
        </is>
      </c>
      <c r="F19" s="4" t="inlineStr">
        <is>
          <t>佔用騎樓檢舉四年搞不定（250封檢舉信無效）</t>
        </is>
      </c>
      <c r="G19" s="5" t="inlineStr">
        <is>
          <t>https://www.ptt.cc/bbs/ShuangHe/M.1707044476.A.B55.html</t>
        </is>
      </c>
      <c r="H19" s="2" t="inlineStr">
        <is>
          <t>2024-02</t>
        </is>
      </c>
      <c r="I19" s="2" t="n"/>
      <c r="J19" s="2" t="inlineStr">
        <is>
          <t>行人路權方</t>
        </is>
      </c>
      <c r="K19" s="2" t="inlineStr">
        <is>
          <t>無力感</t>
        </is>
      </c>
      <c r="L19" s="2" t="inlineStr">
        <is>
          <t>原站可查核</t>
        </is>
      </c>
    </row>
    <row r="20">
      <c r="A20" s="2" t="n">
        <v>19</v>
      </c>
      <c r="B20" s="8" t="inlineStr">
        <is>
          <t>C</t>
        </is>
      </c>
      <c r="C20" s="2" t="inlineStr">
        <is>
          <t>PTT 台南板</t>
        </is>
      </c>
      <c r="D20" s="2" t="inlineStr">
        <is>
          <t>PTT</t>
        </is>
      </c>
      <c r="E20" s="2" t="inlineStr">
        <is>
          <t>Tainan板</t>
        </is>
      </c>
      <c r="F20" s="4" t="inlineStr">
        <is>
          <t>騎樓議題／標線型人行道與攤商票倉矛盾</t>
        </is>
      </c>
      <c r="G20" s="5" t="inlineStr">
        <is>
          <t>https://www.ptt.cc/bbs/Tainan/M.1654617893.A.048.html</t>
        </is>
      </c>
      <c r="H20" s="2" t="inlineStr">
        <is>
          <t>2022-06</t>
        </is>
      </c>
      <c r="I20" s="2" t="n"/>
      <c r="J20" s="2" t="inlineStr">
        <is>
          <t>中立敘事</t>
        </is>
      </c>
      <c r="K20" s="2" t="inlineStr">
        <is>
          <t>剝奪感/城鄉落差</t>
        </is>
      </c>
      <c r="L20" s="2" t="inlineStr">
        <is>
          <t>原站可查核</t>
        </is>
      </c>
    </row>
    <row r="21">
      <c r="A21" s="2" t="n">
        <v>20</v>
      </c>
      <c r="B21" s="8" t="inlineStr">
        <is>
          <t>C</t>
        </is>
      </c>
      <c r="C21" s="2" t="inlineStr">
        <is>
          <t>PTT 台中板</t>
        </is>
      </c>
      <c r="D21" s="2" t="inlineStr">
        <is>
          <t>PTT</t>
        </is>
      </c>
      <c r="E21" s="2" t="inlineStr">
        <is>
          <t>TaichungBun板</t>
        </is>
      </c>
      <c r="F21" s="4" t="inlineStr">
        <is>
          <t>大坑9號步道攤販終於拆除（積怨已久）</t>
        </is>
      </c>
      <c r="G21" s="5" t="inlineStr">
        <is>
          <t>https://www.ptt.cc/bbs/TaichungBun/M.1678258216.A.83F.html</t>
        </is>
      </c>
      <c r="H21" s="2" t="inlineStr">
        <is>
          <t>2023-03</t>
        </is>
      </c>
      <c r="I21" s="2" t="n"/>
      <c r="J21" s="2" t="inlineStr">
        <is>
          <t>行人路權方</t>
        </is>
      </c>
      <c r="K21" s="2" t="inlineStr">
        <is>
          <t>無力感</t>
        </is>
      </c>
      <c r="L21" s="2" t="inlineStr">
        <is>
          <t>原站可查核</t>
        </is>
      </c>
    </row>
    <row r="22">
      <c r="A22" s="2" t="n">
        <v>21</v>
      </c>
      <c r="B22" s="8" t="inlineStr">
        <is>
          <t>C</t>
        </is>
      </c>
      <c r="C22" s="2" t="inlineStr">
        <is>
          <t>Mobile01 居家/台北版</t>
        </is>
      </c>
      <c r="D22" s="2" t="inlineStr">
        <is>
          <t>Mobile01</t>
        </is>
      </c>
      <c r="E22" s="2" t="inlineStr">
        <is>
          <t>居家版</t>
        </is>
      </c>
      <c r="F22" s="4" t="inlineStr">
        <is>
          <t>騎樓佔用陳情無效、高低差長者身障難行</t>
        </is>
      </c>
      <c r="G22" s="5" t="inlineStr">
        <is>
          <t>https://www.mobile01.com/topicdetail.php?f=37&amp;t=6035881</t>
        </is>
      </c>
      <c r="H22" s="2" t="inlineStr">
        <is>
          <t>2019-21</t>
        </is>
      </c>
      <c r="I22" s="2" t="n"/>
      <c r="J22" s="2" t="inlineStr">
        <is>
          <t>身障/視障方</t>
        </is>
      </c>
      <c r="K22" s="2" t="inlineStr">
        <is>
          <t>無力感</t>
        </is>
      </c>
      <c r="L22" s="2" t="inlineStr">
        <is>
          <t>摘要</t>
        </is>
      </c>
    </row>
    <row r="23">
      <c r="A23" s="2" t="n">
        <v>22</v>
      </c>
      <c r="B23" s="8" t="inlineStr">
        <is>
          <t>C</t>
        </is>
      </c>
      <c r="C23" s="2" t="inlineStr">
        <is>
          <t>Dcard 心情板</t>
        </is>
      </c>
      <c r="D23" s="2" t="inlineStr">
        <is>
          <t>Dcard</t>
        </is>
      </c>
      <c r="E23" s="2" t="inlineStr">
        <is>
          <t>mood板</t>
        </is>
      </c>
      <c r="F23" s="4" t="inlineStr">
        <is>
          <t>機車停放騎樓之遭遇（留言：身障者要走哪？）</t>
        </is>
      </c>
      <c r="G23" s="5" t="inlineStr">
        <is>
          <t>https://www.dcard.tw/f/mood/p/232161658</t>
        </is>
      </c>
      <c r="H23" s="2" t="inlineStr">
        <is>
          <t>約2020</t>
        </is>
      </c>
      <c r="I23" s="2" t="n"/>
      <c r="J23" s="2" t="inlineStr">
        <is>
          <t>身障/視障方</t>
        </is>
      </c>
      <c r="K23" s="2" t="inlineStr">
        <is>
          <t>憤怒</t>
        </is>
      </c>
      <c r="L23" s="2" t="inlineStr">
        <is>
          <t>摘要</t>
        </is>
      </c>
    </row>
    <row r="24">
      <c r="A24" s="2" t="n">
        <v>23</v>
      </c>
      <c r="B24" s="8" t="inlineStr">
        <is>
          <t>C</t>
        </is>
      </c>
      <c r="C24" s="2" t="inlineStr">
        <is>
          <t>Dcard 閒聊/逢甲板</t>
        </is>
      </c>
      <c r="D24" s="2" t="inlineStr">
        <is>
          <t>Dcard</t>
        </is>
      </c>
      <c r="E24" s="2" t="inlineStr">
        <is>
          <t>talk/fcu板</t>
        </is>
      </c>
      <c r="F24" s="4" t="inlineStr">
        <is>
          <t>騎樓／人行道抽菸、菸蒂痛點</t>
        </is>
      </c>
      <c r="G24" s="5" t="inlineStr">
        <is>
          <t>https://www.dcard.tw/f/talk/p/240429608</t>
        </is>
      </c>
      <c r="H24" s="2" t="inlineStr">
        <is>
          <t>約2022-23</t>
        </is>
      </c>
      <c r="I24" s="2" t="n"/>
      <c r="J24" s="2" t="inlineStr">
        <is>
          <t>行人路權方</t>
        </is>
      </c>
      <c r="K24" s="2" t="inlineStr">
        <is>
          <t>憤怒</t>
        </is>
      </c>
      <c r="L24" s="2" t="inlineStr">
        <is>
          <t>摘要</t>
        </is>
      </c>
    </row>
    <row r="25">
      <c r="A25" s="2" t="n">
        <v>24</v>
      </c>
      <c r="B25" s="8" t="inlineStr">
        <is>
          <t>C</t>
        </is>
      </c>
      <c r="C25" s="2" t="inlineStr">
        <is>
          <t>TVBS/恆安法律</t>
        </is>
      </c>
      <c r="D25" s="2" t="inlineStr">
        <is>
          <t>其他(法律/YouTube)</t>
        </is>
      </c>
      <c r="E25" s="2" t="inlineStr">
        <is>
          <t>新聞/法律</t>
        </is>
      </c>
      <c r="F25" s="4" t="inlineStr">
        <is>
          <t>店家管門前反遭檢舉「占用騎樓」開罰</t>
        </is>
      </c>
      <c r="G25" s="5" t="inlineStr">
        <is>
          <t>https://www.youtube.com/watch?v=6MvYz8gfAfI</t>
        </is>
      </c>
      <c r="H25" s="2" t="inlineStr">
        <is>
          <t>約2023</t>
        </is>
      </c>
      <c r="I25" s="2" t="n"/>
      <c r="J25" s="2" t="inlineStr">
        <is>
          <t>店家/里長方</t>
        </is>
      </c>
      <c r="K25" s="2" t="inlineStr">
        <is>
          <t>無力感</t>
        </is>
      </c>
      <c r="L25" s="2" t="inlineStr">
        <is>
          <t>新聞引述</t>
        </is>
      </c>
    </row>
    <row r="26">
      <c r="A26" s="2" t="n">
        <v>25</v>
      </c>
      <c r="B26" s="9" t="inlineStr">
        <is>
          <t>D</t>
        </is>
      </c>
      <c r="C26" s="2" t="inlineStr">
        <is>
          <t>PTT 八卦板</t>
        </is>
      </c>
      <c r="D26" s="2" t="inlineStr">
        <is>
          <t>PTT</t>
        </is>
      </c>
      <c r="E26" s="2" t="inlineStr">
        <is>
          <t>Gossiping板</t>
        </is>
      </c>
      <c r="F26" s="4" t="inlineStr">
        <is>
          <t>為啥台灣有地卻不愛蓋人行道（優先畫機車道停車格）</t>
        </is>
      </c>
      <c r="G26" s="5" t="inlineStr">
        <is>
          <t>https://www.ptt.cc/bbs/Gossiping/M.1721106452.A.CA0.html</t>
        </is>
      </c>
      <c r="H26" s="2" t="inlineStr">
        <is>
          <t>2024-07</t>
        </is>
      </c>
      <c r="I26" s="2" t="n"/>
      <c r="J26" s="2" t="inlineStr">
        <is>
          <t>行人路權方</t>
        </is>
      </c>
      <c r="K26" s="2" t="inlineStr">
        <is>
          <t>羞辱感/國際比較</t>
        </is>
      </c>
      <c r="L26" s="2" t="inlineStr">
        <is>
          <t>原站可查核</t>
        </is>
      </c>
    </row>
    <row r="27">
      <c r="A27" s="2" t="n">
        <v>26</v>
      </c>
      <c r="B27" s="9" t="inlineStr">
        <is>
          <t>D</t>
        </is>
      </c>
      <c r="C27" s="2" t="inlineStr">
        <is>
          <t>PTT WomenTalk</t>
        </is>
      </c>
      <c r="D27" s="2" t="inlineStr">
        <is>
          <t>PTT</t>
        </is>
      </c>
      <c r="E27" s="2" t="inlineStr">
        <is>
          <t>WomenTalk板</t>
        </is>
      </c>
      <c r="F27" s="4" t="inlineStr">
        <is>
          <t>台灣為啥不蓋人行道（「蓋人行道沒選票」）</t>
        </is>
      </c>
      <c r="G27" s="5" t="inlineStr">
        <is>
          <t>https://www.ptt.cc/bbs/WomenTalk/M.1722500270.A.D37.html</t>
        </is>
      </c>
      <c r="H27" s="2" t="inlineStr">
        <is>
          <t>2024-08</t>
        </is>
      </c>
      <c r="I27" s="2" t="n"/>
      <c r="J27" s="2" t="inlineStr">
        <is>
          <t>行人路權方</t>
        </is>
      </c>
      <c r="K27" s="2" t="inlineStr">
        <is>
          <t>剝奪感/城鄉落差</t>
        </is>
      </c>
      <c r="L27" s="2" t="inlineStr">
        <is>
          <t>原站可查核</t>
        </is>
      </c>
    </row>
    <row r="28">
      <c r="A28" s="2" t="n">
        <v>27</v>
      </c>
      <c r="B28" s="9" t="inlineStr">
        <is>
          <t>D</t>
        </is>
      </c>
      <c r="C28" s="2" t="inlineStr">
        <is>
          <t>PTT 桃園板</t>
        </is>
      </c>
      <c r="D28" s="2" t="inlineStr">
        <is>
          <t>PTT</t>
        </is>
      </c>
      <c r="E28" s="2" t="inlineStr">
        <is>
          <t>Taoyuan板</t>
        </is>
      </c>
      <c r="F28" s="4" t="inlineStr">
        <is>
          <t>舊市區人行道幾乎沒有、議員反對改油漆標線</t>
        </is>
      </c>
      <c r="G28" s="5" t="inlineStr">
        <is>
          <t>https://www.ptt.cc/bbs/Taoyuan/M.1692004313.A.C4A.html</t>
        </is>
      </c>
      <c r="H28" s="2" t="inlineStr">
        <is>
          <t>2023-08</t>
        </is>
      </c>
      <c r="I28" s="2" t="n"/>
      <c r="J28" s="2" t="inlineStr">
        <is>
          <t>行人路權方</t>
        </is>
      </c>
      <c r="K28" s="2" t="inlineStr">
        <is>
          <t>剝奪感/城鄉落差</t>
        </is>
      </c>
      <c r="L28" s="2" t="inlineStr">
        <is>
          <t>原站可查核</t>
        </is>
      </c>
    </row>
    <row r="29">
      <c r="A29" s="2" t="n">
        <v>28</v>
      </c>
      <c r="B29" s="9" t="inlineStr">
        <is>
          <t>D</t>
        </is>
      </c>
      <c r="C29" s="2" t="inlineStr">
        <is>
          <t>PTT 台中板</t>
        </is>
      </c>
      <c r="D29" s="2" t="inlineStr">
        <is>
          <t>PTT</t>
        </is>
      </c>
      <c r="E29" s="2" t="inlineStr">
        <is>
          <t>TaichungBun板</t>
        </is>
      </c>
      <c r="F29" s="4" t="inlineStr">
        <is>
          <t>中華路「魔幻空間」7-8米無人行道，行人繞車</t>
        </is>
      </c>
      <c r="G29" s="5" t="inlineStr">
        <is>
          <t>https://www.ptt.cc/bbs/TaichungBun/M.1698501350.A.27B.html</t>
        </is>
      </c>
      <c r="H29" s="2" t="inlineStr">
        <is>
          <t>2023-10</t>
        </is>
      </c>
      <c r="I29" s="2" t="n"/>
      <c r="J29" s="2" t="inlineStr">
        <is>
          <t>行人路權方</t>
        </is>
      </c>
      <c r="K29" s="2" t="inlineStr">
        <is>
          <t>剝奪感/城鄉落差</t>
        </is>
      </c>
      <c r="L29" s="2" t="inlineStr">
        <is>
          <t>原站可查核</t>
        </is>
      </c>
    </row>
    <row r="30">
      <c r="A30" s="2" t="n">
        <v>29</v>
      </c>
      <c r="B30" s="9" t="inlineStr">
        <is>
          <t>D</t>
        </is>
      </c>
      <c r="C30" s="2" t="inlineStr">
        <is>
          <t>Dcard 心情板</t>
        </is>
      </c>
      <c r="D30" s="2" t="inlineStr">
        <is>
          <t>Dcard</t>
        </is>
      </c>
      <c r="E30" s="2" t="inlineStr">
        <is>
          <t>mood板</t>
        </is>
      </c>
      <c r="F30" s="4" t="inlineStr">
        <is>
          <t>40年來台灣快沒有人行道（南部、推嬰兒車不友善）</t>
        </is>
      </c>
      <c r="G30" s="5" t="inlineStr">
        <is>
          <t>https://www.dcard.tw/f/mood/p/235324352</t>
        </is>
      </c>
      <c r="H30" s="2" t="inlineStr">
        <is>
          <t>約2020-21</t>
        </is>
      </c>
      <c r="I30" s="2" t="n"/>
      <c r="J30" s="2" t="inlineStr">
        <is>
          <t>行人路權方</t>
        </is>
      </c>
      <c r="K30" s="2" t="inlineStr">
        <is>
          <t>剝奪感/城鄉落差</t>
        </is>
      </c>
      <c r="L30" s="2" t="inlineStr">
        <is>
          <t>摘要</t>
        </is>
      </c>
    </row>
    <row r="31">
      <c r="A31" s="2" t="n">
        <v>30</v>
      </c>
      <c r="B31" s="9" t="inlineStr">
        <is>
          <t>D</t>
        </is>
      </c>
      <c r="C31" s="2" t="inlineStr">
        <is>
          <t>Dcard 閒聊板</t>
        </is>
      </c>
      <c r="D31" s="2" t="inlineStr">
        <is>
          <t>Dcard</t>
        </is>
      </c>
      <c r="E31" s="2" t="inlineStr">
        <is>
          <t>talk板</t>
        </is>
      </c>
      <c r="F31" s="4" t="inlineStr">
        <is>
          <t>台灣沒有人行道是個進步國家？</t>
        </is>
      </c>
      <c r="G31" s="5" t="inlineStr">
        <is>
          <t>https://www.dcard.tw/f/talk/p/256379249</t>
        </is>
      </c>
      <c r="H31" s="2" t="inlineStr">
        <is>
          <t>約2024</t>
        </is>
      </c>
      <c r="I31" s="2" t="n"/>
      <c r="J31" s="2" t="inlineStr">
        <is>
          <t>行人路權方</t>
        </is>
      </c>
      <c r="K31" s="2" t="inlineStr">
        <is>
          <t>羞辱感/國際比較</t>
        </is>
      </c>
      <c r="L31" s="2" t="inlineStr">
        <is>
          <t>摘要</t>
        </is>
      </c>
    </row>
    <row r="32">
      <c r="A32" s="2" t="n">
        <v>31</v>
      </c>
      <c r="B32" s="9" t="inlineStr">
        <is>
          <t>D</t>
        </is>
      </c>
      <c r="C32" s="2" t="inlineStr">
        <is>
          <t>Dcard 升大學板</t>
        </is>
      </c>
      <c r="D32" s="2" t="inlineStr">
        <is>
          <t>Dcard</t>
        </is>
      </c>
      <c r="E32" s="2" t="inlineStr">
        <is>
          <t>freshman板</t>
        </is>
      </c>
      <c r="F32" s="4" t="inlineStr">
        <is>
          <t>為何只有台北市有完整人行道（城鄉落差）</t>
        </is>
      </c>
      <c r="G32" s="5" t="inlineStr">
        <is>
          <t>https://www.dcard.tw/f/freshman/p/239233088</t>
        </is>
      </c>
      <c r="H32" s="2" t="inlineStr">
        <is>
          <t>約2022</t>
        </is>
      </c>
      <c r="I32" s="2" t="n"/>
      <c r="J32" s="2" t="inlineStr">
        <is>
          <t>行人路權方</t>
        </is>
      </c>
      <c r="K32" s="2" t="inlineStr">
        <is>
          <t>剝奪感/城鄉落差</t>
        </is>
      </c>
      <c r="L32" s="2" t="inlineStr">
        <is>
          <t>摘要</t>
        </is>
      </c>
    </row>
    <row r="33">
      <c r="A33" s="2" t="n">
        <v>32</v>
      </c>
      <c r="B33" s="9" t="inlineStr">
        <is>
          <t>D</t>
        </is>
      </c>
      <c r="C33" s="2" t="inlineStr">
        <is>
          <t>Dcard 汽機車板</t>
        </is>
      </c>
      <c r="D33" s="2" t="inlineStr">
        <is>
          <t>Dcard</t>
        </is>
      </c>
      <c r="E33" s="2" t="inlineStr">
        <is>
          <t>vehicle板</t>
        </is>
      </c>
      <c r="F33" s="4" t="inlineStr">
        <is>
          <t>台灣路很寬，人行道呢？（對比日本，重車輕人）</t>
        </is>
      </c>
      <c r="G33" s="5" t="inlineStr">
        <is>
          <t>https://www.dcard.tw/f/vehicle/p/231229443</t>
        </is>
      </c>
      <c r="H33" s="2" t="inlineStr">
        <is>
          <t>約2020</t>
        </is>
      </c>
      <c r="I33" s="2" t="n"/>
      <c r="J33" s="2" t="inlineStr">
        <is>
          <t>行人路權方</t>
        </is>
      </c>
      <c r="K33" s="2" t="inlineStr">
        <is>
          <t>羞辱感/國際比較</t>
        </is>
      </c>
      <c r="L33" s="2" t="inlineStr">
        <is>
          <t>摘要</t>
        </is>
      </c>
    </row>
    <row r="34">
      <c r="A34" s="2" t="n">
        <v>33</v>
      </c>
      <c r="B34" s="9" t="inlineStr">
        <is>
          <t>D</t>
        </is>
      </c>
      <c r="C34" s="2" t="inlineStr">
        <is>
          <t>Threads</t>
        </is>
      </c>
      <c r="D34" s="2" t="inlineStr">
        <is>
          <t>Threads</t>
        </is>
      </c>
      <c r="E34" s="2" t="inlineStr">
        <is>
          <t>@d.p.willy</t>
        </is>
      </c>
      <c r="F34" s="4" t="inlineStr">
        <is>
          <t>一張圖解釋台灣人行道為何不普及</t>
        </is>
      </c>
      <c r="G34" s="5" t="inlineStr">
        <is>
          <t>https://www.threads.com/@d.p.willy/post/DJ1sPjHSRXF</t>
        </is>
      </c>
      <c r="H34" s="2" t="inlineStr">
        <is>
          <t>2025-05-19</t>
        </is>
      </c>
      <c r="I34" s="6" t="n">
        <v>10700</v>
      </c>
      <c r="J34" s="2" t="inlineStr">
        <is>
          <t>行人路權方</t>
        </is>
      </c>
      <c r="K34" s="2" t="inlineStr">
        <is>
          <t>剝奪感/城鄉落差</t>
        </is>
      </c>
      <c r="L34" s="2" t="inlineStr">
        <is>
          <t>全文</t>
        </is>
      </c>
    </row>
    <row r="35">
      <c r="A35" s="2" t="n">
        <v>34</v>
      </c>
      <c r="B35" s="10" t="inlineStr">
        <is>
          <t>E</t>
        </is>
      </c>
      <c r="C35" s="2" t="inlineStr">
        <is>
          <t>PTT 新竹板</t>
        </is>
      </c>
      <c r="D35" s="2" t="inlineStr">
        <is>
          <t>PTT</t>
        </is>
      </c>
      <c r="E35" s="2" t="inlineStr">
        <is>
          <t>Hsinchu板</t>
        </is>
      </c>
      <c r="F35" s="4" t="inlineStr">
        <is>
          <t>標線人行道劃一年被塗銷改停車格（綠標最易塗銷）</t>
        </is>
      </c>
      <c r="G35" s="5" t="inlineStr">
        <is>
          <t>https://www.ptt.cc/bbs/Hsinchu/M.1687913093.A.206.html</t>
        </is>
      </c>
      <c r="H35" s="2" t="inlineStr">
        <is>
          <t>2023-06</t>
        </is>
      </c>
      <c r="I35" s="2" t="n"/>
      <c r="J35" s="2" t="inlineStr">
        <is>
          <t>行人路權方</t>
        </is>
      </c>
      <c r="K35" s="2" t="inlineStr">
        <is>
          <t>憤怒</t>
        </is>
      </c>
      <c r="L35" s="2" t="inlineStr">
        <is>
          <t>原站可查核</t>
        </is>
      </c>
    </row>
    <row r="36">
      <c r="A36" s="2" t="n">
        <v>35</v>
      </c>
      <c r="B36" s="10" t="inlineStr">
        <is>
          <t>E</t>
        </is>
      </c>
      <c r="C36" s="2" t="inlineStr">
        <is>
          <t>PTT car板</t>
        </is>
      </c>
      <c r="D36" s="2" t="inlineStr">
        <is>
          <t>PTT</t>
        </is>
      </c>
      <c r="E36" s="2" t="inlineStr">
        <is>
          <t>car板</t>
        </is>
      </c>
      <c r="F36" s="4" t="inlineStr">
        <is>
          <t>問題在人行道／回文提電箱電桿擋道</t>
        </is>
      </c>
      <c r="G36" s="5" t="inlineStr">
        <is>
          <t>https://www.ptt.cc/bbs/car/M.1686244646.A.BB5.html</t>
        </is>
      </c>
      <c r="H36" s="2" t="inlineStr">
        <is>
          <t>2023-06</t>
        </is>
      </c>
      <c r="I36" s="2" t="n"/>
      <c r="J36" s="2" t="inlineStr">
        <is>
          <t>行人路權方</t>
        </is>
      </c>
      <c r="K36" s="2" t="inlineStr">
        <is>
          <t>無力感</t>
        </is>
      </c>
      <c r="L36" s="2" t="inlineStr">
        <is>
          <t>原站可查核</t>
        </is>
      </c>
    </row>
    <row r="37">
      <c r="A37" s="2" t="n">
        <v>36</v>
      </c>
      <c r="B37" s="10" t="inlineStr">
        <is>
          <t>E</t>
        </is>
      </c>
      <c r="C37" s="2" t="inlineStr">
        <is>
          <t>PTT home-sale</t>
        </is>
      </c>
      <c r="D37" s="2" t="inlineStr">
        <is>
          <t>PTT</t>
        </is>
      </c>
      <c r="E37" s="2" t="inlineStr">
        <is>
          <t>home-sale板</t>
        </is>
      </c>
      <c r="F37" s="4" t="inlineStr">
        <is>
          <t>步行多久算遠（閃車繞障礙，步行品質差）</t>
        </is>
      </c>
      <c r="G37" s="5" t="inlineStr">
        <is>
          <t>https://www.ptt.cc/bbs/home-sale/M.1737985112.A.009.html</t>
        </is>
      </c>
      <c r="H37" s="2" t="inlineStr">
        <is>
          <t>2025-01</t>
        </is>
      </c>
      <c r="I37" s="2" t="n"/>
      <c r="J37" s="2" t="inlineStr">
        <is>
          <t>行人路權方</t>
        </is>
      </c>
      <c r="K37" s="2" t="inlineStr">
        <is>
          <t>無力感</t>
        </is>
      </c>
      <c r="L37" s="2" t="inlineStr">
        <is>
          <t>原站可查核</t>
        </is>
      </c>
    </row>
    <row r="38">
      <c r="A38" s="2" t="n">
        <v>37</v>
      </c>
      <c r="B38" s="10" t="inlineStr">
        <is>
          <t>E</t>
        </is>
      </c>
      <c r="C38" s="2" t="inlineStr">
        <is>
          <t>公視新聞</t>
        </is>
      </c>
      <c r="D38" s="2" t="inlineStr">
        <is>
          <t>新聞媒體</t>
        </is>
      </c>
      <c r="E38" s="2" t="inlineStr">
        <is>
          <t>新聞</t>
        </is>
      </c>
      <c r="F38" s="4" t="inlineStr">
        <is>
          <t>標線型人行道採訪：線太不明顯、車照停</t>
        </is>
      </c>
      <c r="G38" s="5" t="inlineStr">
        <is>
          <t>https://news.pts.org.tw/article/523348</t>
        </is>
      </c>
      <c r="H38" s="2" t="inlineStr">
        <is>
          <t>2021-04-26</t>
        </is>
      </c>
      <c r="I38" s="2" t="n"/>
      <c r="J38" s="2" t="inlineStr">
        <is>
          <t>中立敘事</t>
        </is>
      </c>
      <c r="K38" s="2" t="inlineStr">
        <is>
          <t>無力感</t>
        </is>
      </c>
      <c r="L38" s="2" t="inlineStr">
        <is>
          <t>新聞引述</t>
        </is>
      </c>
    </row>
    <row r="39">
      <c r="A39" s="2" t="n">
        <v>38</v>
      </c>
      <c r="B39" s="10" t="inlineStr">
        <is>
          <t>E</t>
        </is>
      </c>
      <c r="C39" s="2" t="inlineStr">
        <is>
          <t>中國時報/立院</t>
        </is>
      </c>
      <c r="D39" s="2" t="inlineStr">
        <is>
          <t>新聞媒體</t>
        </is>
      </c>
      <c r="E39" s="2" t="inlineStr">
        <is>
          <t>新聞/立院</t>
        </is>
      </c>
      <c r="F39" s="4" t="inlineStr">
        <is>
          <t>標線型像「障礙賽道」、議員批浪費公帑</t>
        </is>
      </c>
      <c r="G39" s="5" t="inlineStr">
        <is>
          <t>https://www.chinatimes.com/newspapers/20230306000618-260106</t>
        </is>
      </c>
      <c r="H39" s="2" t="inlineStr">
        <is>
          <t>2023-03</t>
        </is>
      </c>
      <c r="I39" s="2" t="n"/>
      <c r="J39" s="2" t="inlineStr">
        <is>
          <t>政府/中立敘事</t>
        </is>
      </c>
      <c r="K39" s="2" t="inlineStr">
        <is>
          <t>嘲諷/迷因化</t>
        </is>
      </c>
      <c r="L39" s="2" t="inlineStr">
        <is>
          <t>新聞引述</t>
        </is>
      </c>
    </row>
    <row r="40">
      <c r="A40" s="2" t="n">
        <v>39</v>
      </c>
      <c r="B40" s="10" t="inlineStr">
        <is>
          <t>E</t>
        </is>
      </c>
      <c r="C40" s="2" t="inlineStr">
        <is>
          <t>眼底城事/關鍵評論</t>
        </is>
      </c>
      <c r="D40" s="2" t="inlineStr">
        <is>
          <t>倡議媒體/團體</t>
        </is>
      </c>
      <c r="E40" s="2" t="inlineStr">
        <is>
          <t>倡議媒體</t>
        </is>
      </c>
      <c r="F40" s="4" t="inlineStr">
        <is>
          <t>民調92%民眾不滿人行環境、寬度不達標</t>
        </is>
      </c>
      <c r="G40" s="5" t="inlineStr">
        <is>
          <t>https://eyesonplace.net/2020/11/25/15768/</t>
        </is>
      </c>
      <c r="H40" s="2" t="inlineStr">
        <is>
          <t>2020-11</t>
        </is>
      </c>
      <c r="I40" s="2" t="n"/>
      <c r="J40" s="2" t="inlineStr">
        <is>
          <t>倡議團體</t>
        </is>
      </c>
      <c r="K40" s="2" t="inlineStr">
        <is>
          <t>剝奪感/城鄉落差</t>
        </is>
      </c>
      <c r="L40" s="2" t="inlineStr">
        <is>
          <t>量化調查</t>
        </is>
      </c>
    </row>
    <row r="41">
      <c r="A41" s="2" t="n">
        <v>40</v>
      </c>
      <c r="B41" s="10" t="inlineStr">
        <is>
          <t>E</t>
        </is>
      </c>
      <c r="C41" s="2" t="inlineStr">
        <is>
          <t>Threads</t>
        </is>
      </c>
      <c r="D41" s="2" t="inlineStr">
        <is>
          <t>Threads</t>
        </is>
      </c>
      <c r="E41" s="2" t="inlineStr">
        <is>
          <t>@motorisland1688</t>
        </is>
      </c>
      <c r="F41" s="4" t="inlineStr">
        <is>
          <t>綠色標線人行道對人車真的安全嗎</t>
        </is>
      </c>
      <c r="G41" s="5" t="inlineStr">
        <is>
          <t>https://www.threads.com/@motorisland1688/post/C_N6fWTS65G</t>
        </is>
      </c>
      <c r="H41" s="2" t="inlineStr">
        <is>
          <t>2024-08-28</t>
        </is>
      </c>
      <c r="I41" s="6" t="n">
        <v>230</v>
      </c>
      <c r="J41" s="2" t="inlineStr">
        <is>
          <t>行人路權方</t>
        </is>
      </c>
      <c r="K41" s="2" t="inlineStr">
        <is>
          <t>嘲諷/迷因化</t>
        </is>
      </c>
      <c r="L41" s="2" t="inlineStr">
        <is>
          <t>全文</t>
        </is>
      </c>
    </row>
    <row r="42">
      <c r="A42" s="2" t="n">
        <v>41</v>
      </c>
      <c r="B42" s="10" t="inlineStr">
        <is>
          <t>E</t>
        </is>
      </c>
      <c r="C42" s="2" t="inlineStr">
        <is>
          <t>Dcard→Yahoo</t>
        </is>
      </c>
      <c r="D42" s="2" t="inlineStr">
        <is>
          <t>Dcard</t>
        </is>
      </c>
      <c r="E42" s="2" t="inlineStr">
        <is>
          <t>新聞轉載</t>
        </is>
      </c>
      <c r="F42" s="4" t="inlineStr">
        <is>
          <t>墾丁綠色人行道忽大忽小、擺攤設變電箱</t>
        </is>
      </c>
      <c r="G42" s="5" t="inlineStr">
        <is>
          <t>https://tw.news.yahoo.com/</t>
        </is>
      </c>
      <c r="H42" s="2" t="inlineStr">
        <is>
          <t>2025-01-30</t>
        </is>
      </c>
      <c r="I42" s="2" t="n"/>
      <c r="J42" s="2" t="inlineStr">
        <is>
          <t>行人路權方</t>
        </is>
      </c>
      <c r="K42" s="2" t="inlineStr">
        <is>
          <t>嘲諷/迷因化</t>
        </is>
      </c>
      <c r="L42" s="2" t="inlineStr">
        <is>
          <t>新聞引述</t>
        </is>
      </c>
    </row>
    <row r="43">
      <c r="A43" s="2" t="n">
        <v>42</v>
      </c>
      <c r="B43" s="10" t="inlineStr">
        <is>
          <t>E</t>
        </is>
      </c>
      <c r="C43" s="2" t="inlineStr">
        <is>
          <t>Threads</t>
        </is>
      </c>
      <c r="D43" s="2" t="inlineStr">
        <is>
          <t>Threads</t>
        </is>
      </c>
      <c r="E43" s="2" t="inlineStr">
        <is>
          <t>@vision.zero.tainan</t>
        </is>
      </c>
      <c r="F43" s="4" t="inlineStr">
        <is>
          <t>電線桿長在人行道中央、缺「設施帶」整合</t>
        </is>
      </c>
      <c r="G43" s="5" t="inlineStr">
        <is>
          <t>https://www.threads.com/@vision.zero.tainan/post/DGTXRpKyIH5</t>
        </is>
      </c>
      <c r="H43" s="2" t="inlineStr">
        <is>
          <t>2025-02-20</t>
        </is>
      </c>
      <c r="I43" s="6" t="n">
        <v>24</v>
      </c>
      <c r="J43" s="2" t="inlineStr">
        <is>
          <t>倡議團體</t>
        </is>
      </c>
      <c r="K43" s="2" t="inlineStr">
        <is>
          <t>嘲諷/迷因化</t>
        </is>
      </c>
      <c r="L43" s="2" t="inlineStr">
        <is>
          <t>全文</t>
        </is>
      </c>
    </row>
    <row r="44">
      <c r="A44" s="2" t="n">
        <v>43</v>
      </c>
      <c r="B44" s="10" t="inlineStr">
        <is>
          <t>E</t>
        </is>
      </c>
      <c r="C44" s="2" t="inlineStr">
        <is>
          <t>Threads</t>
        </is>
      </c>
      <c r="D44" s="2" t="inlineStr">
        <is>
          <t>Threads</t>
        </is>
      </c>
      <c r="E44" s="2" t="inlineStr">
        <is>
          <t>@capybara_1204</t>
        </is>
      </c>
      <c r="F44" s="4" t="inlineStr">
        <is>
          <t>人行道+自行車道=救護車道（迷因化嘲諷）</t>
        </is>
      </c>
      <c r="G44" s="5" t="inlineStr">
        <is>
          <t>https://www.threads.com/@capybara_1204/post/DYb7Vvaj3Y4</t>
        </is>
      </c>
      <c r="H44" s="2" t="inlineStr">
        <is>
          <t>2026-05-17</t>
        </is>
      </c>
      <c r="I44" s="6" t="n">
        <v>21100</v>
      </c>
      <c r="J44" s="2" t="inlineStr">
        <is>
          <t>行人路權方</t>
        </is>
      </c>
      <c r="K44" s="2" t="inlineStr">
        <is>
          <t>嘲諷/迷因化</t>
        </is>
      </c>
      <c r="L44" s="2" t="inlineStr">
        <is>
          <t>全文</t>
        </is>
      </c>
    </row>
    <row r="45">
      <c r="A45" s="2" t="n">
        <v>44</v>
      </c>
      <c r="B45" s="11" t="inlineStr">
        <is>
          <t>F</t>
        </is>
      </c>
      <c r="C45" s="2" t="inlineStr">
        <is>
          <t>Mobile01 汽車版</t>
        </is>
      </c>
      <c r="D45" s="2" t="inlineStr">
        <is>
          <t>Mobile01</t>
        </is>
      </c>
      <c r="E45" s="2" t="inlineStr">
        <is>
          <t>汽車消費經驗分享版</t>
        </is>
      </c>
      <c r="F45" s="4" t="inlineStr">
        <is>
          <t>行駛人行道僅罰600太輕、取締量能不足</t>
        </is>
      </c>
      <c r="G45" s="5" t="inlineStr">
        <is>
          <t>https://www.mobile01.com/topicdetail.php?f=294&amp;t=6820302</t>
        </is>
      </c>
      <c r="H45" s="2" t="inlineStr">
        <is>
          <t>約2023</t>
        </is>
      </c>
      <c r="I45" s="2" t="n"/>
      <c r="J45" s="2" t="inlineStr">
        <is>
          <t>行人路權方</t>
        </is>
      </c>
      <c r="K45" s="2" t="inlineStr">
        <is>
          <t>無力感</t>
        </is>
      </c>
      <c r="L45" s="2" t="inlineStr">
        <is>
          <t>摘要</t>
        </is>
      </c>
    </row>
    <row r="46">
      <c r="A46" s="2" t="n">
        <v>45</v>
      </c>
      <c r="B46" s="11" t="inlineStr">
        <is>
          <t>F</t>
        </is>
      </c>
      <c r="C46" s="2" t="inlineStr">
        <is>
          <t>Mobile01 汽車版</t>
        </is>
      </c>
      <c r="D46" s="2" t="inlineStr">
        <is>
          <t>Mobile01</t>
        </is>
      </c>
      <c r="E46" s="2" t="inlineStr">
        <is>
          <t>汽車消費經驗分享版</t>
        </is>
      </c>
      <c r="F46" s="4" t="inlineStr">
        <is>
          <t>人行道護欄有這麼難嗎（要求實體阻隔）</t>
        </is>
      </c>
      <c r="G46" s="5" t="inlineStr">
        <is>
          <t>https://www.mobile01.com/topicdetail.php?f=294&amp;t=7123594</t>
        </is>
      </c>
      <c r="H46" s="2" t="inlineStr">
        <is>
          <t>約2024</t>
        </is>
      </c>
      <c r="I46" s="2" t="n"/>
      <c r="J46" s="2" t="inlineStr">
        <is>
          <t>行人路權方</t>
        </is>
      </c>
      <c r="K46" s="2" t="inlineStr">
        <is>
          <t>無力感</t>
        </is>
      </c>
      <c r="L46" s="2" t="inlineStr">
        <is>
          <t>摘要</t>
        </is>
      </c>
    </row>
    <row r="47">
      <c r="A47" s="2" t="n">
        <v>46</v>
      </c>
      <c r="B47" s="11" t="inlineStr">
        <is>
          <t>F</t>
        </is>
      </c>
      <c r="C47" s="2" t="inlineStr">
        <is>
          <t>join.gov.tw</t>
        </is>
      </c>
      <c r="D47" s="2" t="inlineStr">
        <is>
          <t>官方平台(join.gov.tw)</t>
        </is>
      </c>
      <c r="E47" s="2" t="inlineStr">
        <is>
          <t>公共政策參與平台</t>
        </is>
      </c>
      <c r="F47" s="4" t="inlineStr">
        <is>
          <t>提案：還我真正人行道／統一道路主管機關</t>
        </is>
      </c>
      <c r="G47" s="5" t="inlineStr">
        <is>
          <t>https://join.gov.tw/idea/detail/afb88ade-b064-46ea-8d28-fe5afe75be1a</t>
        </is>
      </c>
      <c r="H47" s="2" t="inlineStr">
        <is>
          <t>2023</t>
        </is>
      </c>
      <c r="I47" s="2" t="n"/>
      <c r="J47" s="2" t="inlineStr">
        <is>
          <t>行人路權方</t>
        </is>
      </c>
      <c r="K47" s="2" t="inlineStr">
        <is>
          <t>無力感</t>
        </is>
      </c>
      <c r="L47" s="2" t="inlineStr">
        <is>
          <t>官方平台</t>
        </is>
      </c>
    </row>
    <row r="48">
      <c r="A48" s="2" t="n">
        <v>47</v>
      </c>
      <c r="B48" s="11" t="inlineStr">
        <is>
          <t>F</t>
        </is>
      </c>
      <c r="C48" s="2" t="inlineStr">
        <is>
          <t>早安健康(引網友)</t>
        </is>
      </c>
      <c r="D48" s="2" t="inlineStr">
        <is>
          <t>新聞媒體</t>
        </is>
      </c>
      <c r="E48" s="2" t="inlineStr">
        <is>
          <t>新聞/樂活</t>
        </is>
      </c>
      <c r="F48" s="4" t="inlineStr">
        <is>
          <t>騎士方：檢舉魔人擾民、600公尺連吃五張罰單</t>
        </is>
      </c>
      <c r="G48" s="5" t="inlineStr">
        <is>
          <t>https://edh.tw/lohas/article/30613</t>
        </is>
      </c>
      <c r="H48" s="2" t="inlineStr">
        <is>
          <t>2023-24</t>
        </is>
      </c>
      <c r="I48" s="2" t="n"/>
      <c r="J48" s="2" t="inlineStr">
        <is>
          <t>機車騎士方</t>
        </is>
      </c>
      <c r="K48" s="2" t="inlineStr">
        <is>
          <t>憤怒</t>
        </is>
      </c>
      <c r="L48" s="2" t="inlineStr">
        <is>
          <t>新聞引述</t>
        </is>
      </c>
    </row>
    <row r="49">
      <c r="A49" s="2" t="n">
        <v>48</v>
      </c>
      <c r="B49" s="12" t="inlineStr">
        <is>
          <t>G</t>
        </is>
      </c>
      <c r="C49" s="2" t="inlineStr">
        <is>
          <t>PTT 高雄板</t>
        </is>
      </c>
      <c r="D49" s="2" t="inlineStr">
        <is>
          <t>PTT</t>
        </is>
      </c>
      <c r="E49" s="2" t="inlineStr">
        <is>
          <t>Kaohsiung板</t>
        </is>
      </c>
      <c r="F49" s="4" t="inlineStr">
        <is>
          <t>比利時外籍生認證「行人地獄」</t>
        </is>
      </c>
      <c r="G49" s="5" t="inlineStr">
        <is>
          <t>https://www.ptt.cc/bbs/Kaohsiung/M.1718881386.A.84E.html</t>
        </is>
      </c>
      <c r="H49" s="2" t="inlineStr">
        <is>
          <t>2024-06</t>
        </is>
      </c>
      <c r="I49" s="2" t="n"/>
      <c r="J49" s="2" t="inlineStr">
        <is>
          <t>行人路權方</t>
        </is>
      </c>
      <c r="K49" s="2" t="inlineStr">
        <is>
          <t>羞辱感/國際比較</t>
        </is>
      </c>
      <c r="L49" s="2" t="inlineStr">
        <is>
          <t>原站可查核</t>
        </is>
      </c>
    </row>
    <row r="50">
      <c r="A50" s="2" t="n">
        <v>49</v>
      </c>
      <c r="B50" s="12" t="inlineStr">
        <is>
          <t>G</t>
        </is>
      </c>
      <c r="C50" s="2" t="inlineStr">
        <is>
          <t>PTT 八卦板</t>
        </is>
      </c>
      <c r="D50" s="2" t="inlineStr">
        <is>
          <t>PTT</t>
        </is>
      </c>
      <c r="E50" s="2" t="inlineStr">
        <is>
          <t>Gossiping板(鏡像)</t>
        </is>
      </c>
      <c r="F50" s="4" t="inlineStr">
        <is>
          <t>日本媽媽走人行道被貨車撞死、司機僅判1年8月</t>
        </is>
      </c>
      <c r="G50" s="5" t="inlineStr">
        <is>
          <t>https://www.pttweb.cc/bbs/Gossiping/M.1776396587.A.227</t>
        </is>
      </c>
      <c r="H50" s="2" t="inlineStr">
        <is>
          <t>2026-04</t>
        </is>
      </c>
      <c r="I50" s="2" t="n"/>
      <c r="J50" s="2" t="inlineStr">
        <is>
          <t>行人路權方</t>
        </is>
      </c>
      <c r="K50" s="2" t="inlineStr">
        <is>
          <t>恐懼</t>
        </is>
      </c>
      <c r="L50" s="2" t="inlineStr">
        <is>
          <t>鏡像網址</t>
        </is>
      </c>
    </row>
    <row r="51">
      <c r="A51" s="2" t="n">
        <v>50</v>
      </c>
      <c r="B51" s="12" t="inlineStr">
        <is>
          <t>G</t>
        </is>
      </c>
      <c r="C51" s="2" t="inlineStr">
        <is>
          <t>PTT 八卦板</t>
        </is>
      </c>
      <c r="D51" s="2" t="inlineStr">
        <is>
          <t>PTT</t>
        </is>
      </c>
      <c r="E51" s="2" t="inlineStr">
        <is>
          <t>Gossiping板(鏡像)</t>
        </is>
      </c>
      <c r="F51" s="4" t="inlineStr">
        <is>
          <t>路邊全放護欄有搞頭嗎（「會變機車專用道」）</t>
        </is>
      </c>
      <c r="G51" s="5" t="inlineStr">
        <is>
          <t>https://www.pttweb.cc/bbs/Gossiping/M.1729266115.A.C5D</t>
        </is>
      </c>
      <c r="H51" s="2" t="inlineStr">
        <is>
          <t>2024-10</t>
        </is>
      </c>
      <c r="I51" s="2" t="n"/>
      <c r="J51" s="2" t="inlineStr">
        <is>
          <t>行人路權方</t>
        </is>
      </c>
      <c r="K51" s="2" t="inlineStr">
        <is>
          <t>無力感</t>
        </is>
      </c>
      <c r="L51" s="2" t="inlineStr">
        <is>
          <t>鏡像網址</t>
        </is>
      </c>
    </row>
    <row r="52">
      <c r="A52" s="2" t="n">
        <v>51</v>
      </c>
      <c r="B52" s="12" t="inlineStr">
        <is>
          <t>G</t>
        </is>
      </c>
      <c r="C52" s="2" t="inlineStr">
        <is>
          <t>Dcard 時事板</t>
        </is>
      </c>
      <c r="D52" s="2" t="inlineStr">
        <is>
          <t>Dcard</t>
        </is>
      </c>
      <c r="E52" s="2" t="inlineStr">
        <is>
          <t>trending板</t>
        </is>
      </c>
      <c r="F52" s="4" t="inlineStr">
        <is>
          <t>行人地獄：死傷率為日韓星2-6倍、CNN點名</t>
        </is>
      </c>
      <c r="G52" s="5" t="inlineStr">
        <is>
          <t>https://www.dcard.tw/f/trending/p/241658501</t>
        </is>
      </c>
      <c r="H52" s="2" t="inlineStr">
        <is>
          <t>約2023</t>
        </is>
      </c>
      <c r="I52" s="2" t="n"/>
      <c r="J52" s="2" t="inlineStr">
        <is>
          <t>行人路權方</t>
        </is>
      </c>
      <c r="K52" s="2" t="inlineStr">
        <is>
          <t>恐懼</t>
        </is>
      </c>
      <c r="L52" s="2" t="inlineStr">
        <is>
          <t>摘要</t>
        </is>
      </c>
    </row>
    <row r="53">
      <c r="A53" s="2" t="n">
        <v>52</v>
      </c>
      <c r="B53" s="12" t="inlineStr">
        <is>
          <t>G</t>
        </is>
      </c>
      <c r="C53" s="2" t="inlineStr">
        <is>
          <t>Threads</t>
        </is>
      </c>
      <c r="D53" s="2" t="inlineStr">
        <is>
          <t>Threads</t>
        </is>
      </c>
      <c r="E53" s="2" t="inlineStr">
        <is>
          <t>@ettodaytw/@yiyeyes</t>
        </is>
      </c>
      <c r="F53" s="4" t="inlineStr">
        <is>
          <t>20歲學生走人行道遭公車輾／日婦被撞死</t>
        </is>
      </c>
      <c r="G53" s="5" t="inlineStr">
        <is>
          <t>https://www.threads.com/@yiyeyes/post/DH8PTc-z0ZI/</t>
        </is>
      </c>
      <c r="H53" s="2" t="inlineStr">
        <is>
          <t>2025-03</t>
        </is>
      </c>
      <c r="I53" s="2" t="n"/>
      <c r="J53" s="2" t="inlineStr">
        <is>
          <t>行人路權方</t>
        </is>
      </c>
      <c r="K53" s="2" t="inlineStr">
        <is>
          <t>恐懼</t>
        </is>
      </c>
      <c r="L53" s="2" t="inlineStr">
        <is>
          <t>全文</t>
        </is>
      </c>
    </row>
    <row r="54">
      <c r="A54" s="2" t="n">
        <v>53</v>
      </c>
      <c r="B54" s="12" t="inlineStr">
        <is>
          <t>G</t>
        </is>
      </c>
      <c r="C54" s="2" t="inlineStr">
        <is>
          <t>Right Plus多多益善</t>
        </is>
      </c>
      <c r="D54" s="2" t="inlineStr">
        <is>
          <t>倡議媒體/團體</t>
        </is>
      </c>
      <c r="E54" s="2" t="inlineStr">
        <is>
          <t>身障倡議媒體</t>
        </is>
      </c>
      <c r="F54" s="4" t="inlineStr">
        <is>
          <t>輪椅林君潔因高低差摔傷臥床、視障袁佳娣「懸空路阻」</t>
        </is>
      </c>
      <c r="G54" s="5" t="inlineStr">
        <is>
          <t>https://rightplus.org/2023/08/03/environmental-barrier/</t>
        </is>
      </c>
      <c r="H54" s="2" t="inlineStr">
        <is>
          <t>2023-08-03</t>
        </is>
      </c>
      <c r="I54" s="2" t="n"/>
      <c r="J54" s="2" t="inlineStr">
        <is>
          <t>身障/視障方</t>
        </is>
      </c>
      <c r="K54" s="2" t="inlineStr">
        <is>
          <t>恐懼</t>
        </is>
      </c>
      <c r="L54" s="2" t="inlineStr">
        <is>
          <t>倡議媒體</t>
        </is>
      </c>
    </row>
    <row r="55">
      <c r="A55" s="2" t="n">
        <v>54</v>
      </c>
      <c r="B55" s="12" t="inlineStr">
        <is>
          <t>G</t>
        </is>
      </c>
      <c r="C55" s="2" t="inlineStr">
        <is>
          <t>聯合新聞網</t>
        </is>
      </c>
      <c r="D55" s="2" t="inlineStr">
        <is>
          <t>新聞媒體</t>
        </is>
      </c>
      <c r="E55" s="2" t="inlineStr">
        <is>
          <t>新聞</t>
        </is>
      </c>
      <c r="F55" s="4" t="inlineStr">
        <is>
          <t>輪椅族每天與障礙競賽、經常繞路折返</t>
        </is>
      </c>
      <c r="G55" s="5" t="inlineStr">
        <is>
          <t>https://udn.com/news/story/7266/7678279</t>
        </is>
      </c>
      <c r="H55" s="2" t="inlineStr">
        <is>
          <t>2023</t>
        </is>
      </c>
      <c r="I55" s="2" t="n"/>
      <c r="J55" s="2" t="inlineStr">
        <is>
          <t>身障/視障方</t>
        </is>
      </c>
      <c r="K55" s="2" t="inlineStr">
        <is>
          <t>剝奪感/城鄉落差</t>
        </is>
      </c>
      <c r="L55" s="2" t="inlineStr">
        <is>
          <t>新聞引述</t>
        </is>
      </c>
    </row>
    <row r="56">
      <c r="A56" s="2" t="n">
        <v>55</v>
      </c>
      <c r="B56" s="12" t="inlineStr">
        <is>
          <t>G</t>
        </is>
      </c>
      <c r="C56" s="2" t="inlineStr">
        <is>
          <t>聯合/自由等</t>
        </is>
      </c>
      <c r="D56" s="2" t="inlineStr">
        <is>
          <t>新聞媒體</t>
        </is>
      </c>
      <c r="E56" s="2" t="inlineStr">
        <is>
          <t>新聞</t>
        </is>
      </c>
      <c r="F56" s="4" t="inlineStr">
        <is>
          <t>鋪面不平、樹根隆起、塌陷致傷—國賠6萬~42萬</t>
        </is>
      </c>
      <c r="G56" s="5" t="inlineStr">
        <is>
          <t>https://udn.com/news/story/7321/9450115</t>
        </is>
      </c>
      <c r="H56" s="2" t="inlineStr">
        <is>
          <t>2020-24</t>
        </is>
      </c>
      <c r="I56" s="2" t="n"/>
      <c r="J56" s="2" t="inlineStr">
        <is>
          <t>中立敘事</t>
        </is>
      </c>
      <c r="K56" s="2" t="inlineStr">
        <is>
          <t>恐懼</t>
        </is>
      </c>
      <c r="L56" s="2" t="inlineStr">
        <is>
          <t>新聞引述</t>
        </is>
      </c>
    </row>
    <row r="57">
      <c r="A57" s="2" t="n">
        <v>56</v>
      </c>
      <c r="B57" s="13" t="inlineStr">
        <is>
          <t>H</t>
        </is>
      </c>
      <c r="C57" s="2" t="inlineStr">
        <is>
          <t>自由時報</t>
        </is>
      </c>
      <c r="D57" s="2" t="inlineStr">
        <is>
          <t>新聞媒體</t>
        </is>
      </c>
      <c r="E57" s="2" t="inlineStr">
        <is>
          <t>新聞</t>
        </is>
      </c>
      <c r="F57" s="4" t="inlineStr">
        <is>
          <t>屏東民生路縮機車道「車禍頻傳」、華正路取消機車道民意激烈反彈</t>
        </is>
      </c>
      <c r="G57" s="5" t="inlineStr">
        <is>
          <t>https://news.ltn.com.tw/news/Pingtung/breakingnews/5486520</t>
        </is>
      </c>
      <c r="H57" s="2" t="inlineStr">
        <is>
          <t>約2025</t>
        </is>
      </c>
      <c r="I57" s="2" t="n"/>
      <c r="J57" s="2" t="inlineStr">
        <is>
          <t>汽車駕駛方</t>
        </is>
      </c>
      <c r="K57" s="2" t="inlineStr">
        <is>
          <t>憤怒</t>
        </is>
      </c>
      <c r="L57" s="2" t="inlineStr">
        <is>
          <t>新聞引述</t>
        </is>
      </c>
    </row>
    <row r="58">
      <c r="A58" s="2" t="n">
        <v>57</v>
      </c>
      <c r="B58" s="13" t="inlineStr">
        <is>
          <t>H</t>
        </is>
      </c>
      <c r="C58" s="2" t="inlineStr">
        <is>
          <t>聯合新聞網</t>
        </is>
      </c>
      <c r="D58" s="2" t="inlineStr">
        <is>
          <t>新聞媒體</t>
        </is>
      </c>
      <c r="E58" s="2" t="inlineStr">
        <is>
          <t>新聞</t>
        </is>
      </c>
      <c r="F58" s="4" t="inlineStr">
        <is>
          <t>高雄三民區「人行道比車道寬」本末倒置、會車困難</t>
        </is>
      </c>
      <c r="G58" s="5" t="inlineStr">
        <is>
          <t>https://udn.com/news/story/7327/8739411</t>
        </is>
      </c>
      <c r="H58" s="2" t="inlineStr">
        <is>
          <t>約2025</t>
        </is>
      </c>
      <c r="I58" s="2" t="n"/>
      <c r="J58" s="2" t="inlineStr">
        <is>
          <t>汽車駕駛方</t>
        </is>
      </c>
      <c r="K58" s="2" t="inlineStr">
        <is>
          <t>憤怒</t>
        </is>
      </c>
      <c r="L58" s="2" t="inlineStr">
        <is>
          <t>新聞引述</t>
        </is>
      </c>
    </row>
    <row r="59">
      <c r="A59" s="2" t="n">
        <v>58</v>
      </c>
      <c r="B59" s="13" t="inlineStr">
        <is>
          <t>H</t>
        </is>
      </c>
      <c r="C59" s="2" t="inlineStr">
        <is>
          <t>中央社</t>
        </is>
      </c>
      <c r="D59" s="2" t="inlineStr">
        <is>
          <t>新聞媒體</t>
        </is>
      </c>
      <c r="E59" s="2" t="inlineStr">
        <is>
          <t>新聞</t>
        </is>
      </c>
      <c r="F59" s="4" t="inlineStr">
        <is>
          <t>北市機車退出騎樓／人行道2.0：找不到車位</t>
        </is>
      </c>
      <c r="G59" s="5" t="inlineStr">
        <is>
          <t>https://www.cna.com.tw/news/aloc/202305080237.aspx</t>
        </is>
      </c>
      <c r="H59" s="2" t="inlineStr">
        <is>
          <t>2023-05-08</t>
        </is>
      </c>
      <c r="I59" s="2" t="n"/>
      <c r="J59" s="2" t="inlineStr">
        <is>
          <t>機車騎士方</t>
        </is>
      </c>
      <c r="K59" s="2" t="inlineStr">
        <is>
          <t>無力感</t>
        </is>
      </c>
      <c r="L59" s="2" t="inlineStr">
        <is>
          <t>新聞引述</t>
        </is>
      </c>
    </row>
    <row r="60">
      <c r="A60" s="2" t="n">
        <v>59</v>
      </c>
      <c r="B60" s="13" t="inlineStr">
        <is>
          <t>H</t>
        </is>
      </c>
      <c r="C60" s="2" t="inlineStr">
        <is>
          <t>聯合新聞網</t>
        </is>
      </c>
      <c r="D60" s="2" t="inlineStr">
        <is>
          <t>新聞媒體</t>
        </is>
      </c>
      <c r="E60" s="2" t="inlineStr">
        <is>
          <t>新聞</t>
        </is>
      </c>
      <c r="F60" s="4" t="inlineStr">
        <is>
          <t>師大路拓寬「生意差1/3」「便當上千誰敢吃」</t>
        </is>
      </c>
      <c r="G60" s="5" t="inlineStr">
        <is>
          <t>https://udn.com/news/story/7323/9284448</t>
        </is>
      </c>
      <c r="H60" s="2" t="inlineStr">
        <is>
          <t>2026-01</t>
        </is>
      </c>
      <c r="I60" s="2" t="n"/>
      <c r="J60" s="2" t="inlineStr">
        <is>
          <t>店家/里長方</t>
        </is>
      </c>
      <c r="K60" s="2" t="inlineStr">
        <is>
          <t>無力感</t>
        </is>
      </c>
      <c r="L60" s="2" t="inlineStr">
        <is>
          <t>新聞引述</t>
        </is>
      </c>
    </row>
    <row r="61">
      <c r="A61" s="2" t="n">
        <v>60</v>
      </c>
      <c r="B61" s="13" t="inlineStr">
        <is>
          <t>H</t>
        </is>
      </c>
      <c r="C61" s="2" t="inlineStr">
        <is>
          <t>Newtalk</t>
        </is>
      </c>
      <c r="D61" s="2" t="inlineStr">
        <is>
          <t>新聞媒體</t>
        </is>
      </c>
      <c r="E61" s="2" t="inlineStr">
        <is>
          <t>新聞</t>
        </is>
      </c>
      <c r="F61" s="4" t="inlineStr">
        <is>
          <t>嘉義民權路店家上街抗議、里長批半夜施工未知會</t>
        </is>
      </c>
      <c r="G61" s="5" t="inlineStr">
        <is>
          <t>https://newtalk.tw/news/view/2020-10-29/486432</t>
        </is>
      </c>
      <c r="H61" s="2" t="inlineStr">
        <is>
          <t>2020-10-29</t>
        </is>
      </c>
      <c r="I61" s="2" t="n"/>
      <c r="J61" s="2" t="inlineStr">
        <is>
          <t>店家/里長方</t>
        </is>
      </c>
      <c r="K61" s="2" t="inlineStr">
        <is>
          <t>憤怒</t>
        </is>
      </c>
      <c r="L61" s="2" t="inlineStr">
        <is>
          <t>新聞引述</t>
        </is>
      </c>
    </row>
  </sheetData>
  <autoFilter ref="A1:L6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  <col width="16" customWidth="1" min="4" max="4"/>
  </cols>
  <sheetData>
    <row r="1">
      <c r="A1" s="1" t="inlineStr">
        <is>
          <t>類別代碼</t>
        </is>
      </c>
      <c r="B1" s="1" t="inlineStr">
        <is>
          <t>類別名稱</t>
        </is>
      </c>
      <c r="C1" s="1" t="inlineStr">
        <is>
          <t>操作型定義</t>
        </is>
      </c>
      <c r="D1" s="1" t="inlineStr">
        <is>
          <t>代表案例編號</t>
        </is>
      </c>
    </row>
    <row r="2" ht="60" customHeight="1">
      <c r="A2" s="14" t="inlineStr">
        <is>
          <t>A</t>
        </is>
      </c>
      <c r="B2" s="15" t="inlineStr">
        <is>
          <t>A. 佔用型—機車騎上/停上人行道</t>
        </is>
      </c>
      <c r="C2" s="15" t="inlineStr">
        <is>
          <t>機車（含自行車）直接騎乘或停放於人行道上，導致行人與慢車爭道；含機車格劃設於人行道之制度性矛盾。</t>
        </is>
      </c>
      <c r="D2" s="15" t="inlineStr">
        <is>
          <t>1, 2, 13</t>
        </is>
      </c>
    </row>
    <row r="3" ht="60" customHeight="1">
      <c r="A3" s="16" t="inlineStr">
        <is>
          <t>B</t>
        </is>
      </c>
      <c r="B3" s="15" t="inlineStr">
        <is>
          <t>B. 佔用型—汽車違停逼行人上馬路</t>
        </is>
      </c>
      <c r="C3" s="15" t="inlineStr">
        <is>
          <t>汽車違停佔用人行道或斑馬線，迫使行人繞行或走上車道；含違規檢舉制度限縮的挫折。</t>
        </is>
      </c>
      <c r="D3" s="15" t="inlineStr">
        <is>
          <t>14, 15</t>
        </is>
      </c>
    </row>
    <row r="4" ht="60" customHeight="1">
      <c r="A4" s="17" t="inlineStr">
        <is>
          <t>C</t>
        </is>
      </c>
      <c r="B4" s="15" t="inlineStr">
        <is>
          <t>C. 佔用型—騎樓被店家/攤販/雜物佔用</t>
        </is>
      </c>
      <c r="C4" s="15" t="inlineStr">
        <is>
          <t>騎樓因公私產權模糊，被店家、攤販、雜物、機車長期佔用，行人（尤其身障者）無法通行。</t>
        </is>
      </c>
      <c r="D4" s="15" t="inlineStr">
        <is>
          <t>18, 22</t>
        </is>
      </c>
    </row>
    <row r="5" ht="60" customHeight="1">
      <c r="A5" s="18" t="inlineStr">
        <is>
          <t>D</t>
        </is>
      </c>
      <c r="B5" s="15" t="inlineStr">
        <is>
          <t>D. 缺席型—根本沒有人行道</t>
        </is>
      </c>
      <c r="C5" s="15" t="inlineStr">
        <is>
          <t>該路段根本未設置人行道，行人被迫與車輛混流；常見於非六都或舊市區，並涉及城鄉與國際比較。</t>
        </is>
      </c>
      <c r="D5" s="15" t="inlineStr">
        <is>
          <t>25, 29</t>
        </is>
      </c>
    </row>
    <row r="6" ht="60" customHeight="1">
      <c r="A6" s="19" t="inlineStr">
        <is>
          <t>E</t>
        </is>
      </c>
      <c r="B6" s="15" t="inlineStr">
        <is>
          <t>E. 設計失敗型—標線型人行道與障礙物</t>
        </is>
      </c>
      <c r="C6" s="15" t="inlineStr">
        <is>
          <t>已設置之人行道（尤其標線型／綠色鋪面）因未加高、無阻隔、遭電箱電桿路樹等公共設施切割，形同虛設。</t>
        </is>
      </c>
      <c r="D6" s="15" t="inlineStr">
        <is>
          <t>34, 43</t>
        </is>
      </c>
    </row>
    <row r="7" ht="60" customHeight="1">
      <c r="A7" s="20" t="inlineStr">
        <is>
          <t>F</t>
        </is>
      </c>
      <c r="B7" s="15" t="inlineStr">
        <is>
          <t>F. 制度挫折型—檢舉限縮/罰則/主管機關</t>
        </is>
      </c>
      <c r="C7" s="15" t="inlineStr">
        <is>
          <t>違規檢舉機制限縮、罰則過輕、道路主管機關權責分散，使民眾陳情/檢舉徒勞無功。</t>
        </is>
      </c>
      <c r="D7" s="15" t="inlineStr">
        <is>
          <t>18(交叉), 46</t>
        </is>
      </c>
    </row>
    <row r="8" ht="60" customHeight="1">
      <c r="A8" s="21" t="inlineStr">
        <is>
          <t>G</t>
        </is>
      </c>
      <c r="B8" s="15" t="inlineStr">
        <is>
          <t>G. 安全恐懼型—事故/身障/國賠</t>
        </is>
      </c>
      <c r="C8" s="15" t="inlineStr">
        <is>
          <t>因人行道缺陷（高低差、路阻、鋪面破損）造成之死傷事故、身心障礙者行動困境、國家賠償案件。</t>
        </is>
      </c>
      <c r="D8" s="15" t="inlineStr">
        <is>
          <t>49, 53, 55</t>
        </is>
      </c>
    </row>
    <row r="9" ht="60" customHeight="1">
      <c r="A9" s="22" t="inlineStr">
        <is>
          <t>H</t>
        </is>
      </c>
      <c r="B9" s="15" t="inlineStr">
        <is>
          <t>H. 反彈方—工程衝突對照組（非行人路權視角）</t>
        </is>
      </c>
      <c r="C9" s="15" t="inlineStr">
        <is>
          <t>人行道／標線型人行道／機車退出騎樓等工程政策，引發汽機車族、店家、里長之反向民怨（對照組，供衝突結構分析）。</t>
        </is>
      </c>
      <c r="D9" s="15" t="inlineStr">
        <is>
          <t>56, 59</t>
        </is>
      </c>
    </row>
    <row r="12">
      <c r="A12" s="23" t="inlineStr">
        <is>
          <t>立場分類</t>
        </is>
      </c>
    </row>
    <row r="13">
      <c r="A13" s="24" t="inlineStr">
        <is>
          <t>行人路權方</t>
        </is>
      </c>
      <c r="B13" s="25" t="inlineStr">
        <is>
          <t>以步行者/一般民眾視角發言，主張改善人行道、加強執法</t>
        </is>
      </c>
    </row>
    <row r="14">
      <c r="A14" s="24" t="inlineStr">
        <is>
          <t>機車騎士方</t>
        </is>
      </c>
      <c r="B14" s="25" t="inlineStr">
        <is>
          <t>以機車使用者視角發言，含停車困擾、檢舉挫折、亦含挑釁言論</t>
        </is>
      </c>
    </row>
    <row r="15">
      <c r="A15" s="24" t="inlineStr">
        <is>
          <t>汽車駕駛方</t>
        </is>
      </c>
      <c r="B15" s="25" t="inlineStr">
        <is>
          <t>以汽車使用者視角發言，反對車道縮減</t>
        </is>
      </c>
    </row>
    <row r="16">
      <c r="A16" s="24" t="inlineStr">
        <is>
          <t>店家/里長方</t>
        </is>
      </c>
      <c r="B16" s="25" t="inlineStr">
        <is>
          <t>以沿街店家或地方民代視角，關切生意與工程溝通</t>
        </is>
      </c>
    </row>
    <row r="17">
      <c r="A17" s="24" t="inlineStr">
        <is>
          <t>身障/視障方</t>
        </is>
      </c>
      <c r="B17" s="25" t="inlineStr">
        <is>
          <t>身心障礙者或代言之無障礙倡議視角</t>
        </is>
      </c>
    </row>
    <row r="18">
      <c r="A18" s="24" t="inlineStr">
        <is>
          <t>政府/中立敘事</t>
        </is>
      </c>
      <c r="B18" s="25" t="inlineStr">
        <is>
          <t>官方回應、記者中立敘述或未表態之陳述</t>
        </is>
      </c>
    </row>
    <row r="19">
      <c r="A19" s="24" t="inlineStr">
        <is>
          <t>中立敘事</t>
        </is>
      </c>
      <c r="B19" s="25" t="inlineStr">
        <is>
          <t>純敘述事件，未明顯代入特定立場</t>
        </is>
      </c>
    </row>
    <row r="20">
      <c r="A20" s="24" t="inlineStr">
        <is>
          <t>倡議團體</t>
        </is>
      </c>
      <c r="B20" s="25" t="inlineStr">
        <is>
          <t>路權/人本交通倡議組織或媒體之發言</t>
        </is>
      </c>
    </row>
    <row r="22">
      <c r="A22" s="23" t="inlineStr">
        <is>
          <t>情緒框架分類</t>
        </is>
      </c>
    </row>
    <row r="23">
      <c r="A23" s="24" t="inlineStr">
        <is>
          <t>憤怒</t>
        </is>
      </c>
      <c r="B23" s="25" t="inlineStr">
        <is>
          <t>對佔用者、違規者、失能制度的直接譴責</t>
        </is>
      </c>
    </row>
    <row r="24">
      <c r="A24" s="24" t="inlineStr">
        <is>
          <t>無力感</t>
        </is>
      </c>
      <c r="B24" s="25" t="inlineStr">
        <is>
          <t>檢舉/陳情/勸導無效後的挫敗與放棄感</t>
        </is>
      </c>
    </row>
    <row r="25">
      <c r="A25" s="24" t="inlineStr">
        <is>
          <t>嘲諷/迷因化</t>
        </is>
      </c>
      <c r="B25" s="25" t="inlineStr">
        <is>
          <t>以反諷、迷因、玩笑口吻消費荒謬設計（常見高互動貼文）</t>
        </is>
      </c>
    </row>
    <row r="26">
      <c r="A26" s="24" t="inlineStr">
        <is>
          <t>恐懼</t>
        </is>
      </c>
      <c r="B26" s="25" t="inlineStr">
        <is>
          <t>因死傷事故、人身安全威脅產生的不安</t>
        </is>
      </c>
    </row>
    <row r="27">
      <c r="A27" s="24" t="inlineStr">
        <is>
          <t>剝奪感/城鄉落差</t>
        </is>
      </c>
      <c r="B27" s="25" t="inlineStr">
        <is>
          <t>將自身處境與台北或其他都會區比較後的相對剝奪</t>
        </is>
      </c>
    </row>
    <row r="28">
      <c r="A28" s="24" t="inlineStr">
        <is>
          <t>羞辱感/國際比較</t>
        </is>
      </c>
      <c r="B28" s="25" t="inlineStr">
        <is>
          <t>與日本、東南亞、歐美等國比較後產生的國族/文明羞恥感</t>
        </is>
      </c>
    </row>
  </sheetData>
  <mergeCells count="16">
    <mergeCell ref="B28:D28"/>
    <mergeCell ref="B19:D19"/>
    <mergeCell ref="B14:D14"/>
    <mergeCell ref="A22:D22"/>
    <mergeCell ref="B23:D23"/>
    <mergeCell ref="A12:D12"/>
    <mergeCell ref="B17:D17"/>
    <mergeCell ref="B18:D18"/>
    <mergeCell ref="B13:D13"/>
    <mergeCell ref="B26:D26"/>
    <mergeCell ref="B27:D27"/>
    <mergeCell ref="B15:D15"/>
    <mergeCell ref="B25:D25"/>
    <mergeCell ref="B24:D24"/>
    <mergeCell ref="B16:D16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0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2" customWidth="1" min="5" max="5"/>
    <col width="30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>
      <c r="A1" s="26" t="inlineStr">
        <is>
          <t>「人行道」社群痛點編碼分析</t>
        </is>
      </c>
    </row>
    <row r="2">
      <c r="A2" s="27" t="inlineStr">
        <is>
          <t>資料來源：原始資料工作表（N=60則，2019–2026）</t>
        </is>
      </c>
    </row>
    <row r="4">
      <c r="A4" s="28" t="inlineStr">
        <is>
          <t>表一、一級類別次數分配</t>
        </is>
      </c>
    </row>
    <row r="5">
      <c r="A5" s="29" t="inlineStr">
        <is>
          <t>類別代碼</t>
        </is>
      </c>
      <c r="B5" s="29" t="inlineStr">
        <is>
          <t>類別名稱</t>
        </is>
      </c>
      <c r="C5" s="29" t="inlineStr">
        <is>
          <t>次數</t>
        </is>
      </c>
      <c r="D5" s="29" t="inlineStr">
        <is>
          <t>百分比</t>
        </is>
      </c>
    </row>
    <row r="6">
      <c r="A6" s="30" t="inlineStr">
        <is>
          <t>A</t>
        </is>
      </c>
      <c r="B6" s="31" t="inlineStr">
        <is>
          <t>A. 佔用型—機車騎上/停上人行道</t>
        </is>
      </c>
      <c r="C6" s="31">
        <f>COUNTIF(原始資料!$B$2:$B$61,A6)</f>
        <v/>
      </c>
      <c r="D6" s="32">
        <f>C6/SUM($C$6:$C$13)</f>
        <v/>
      </c>
    </row>
    <row r="7">
      <c r="A7" s="33" t="inlineStr">
        <is>
          <t>B</t>
        </is>
      </c>
      <c r="B7" s="31" t="inlineStr">
        <is>
          <t>B. 佔用型—汽車違停逼行人上馬路</t>
        </is>
      </c>
      <c r="C7" s="31">
        <f>COUNTIF(原始資料!$B$2:$B$61,A7)</f>
        <v/>
      </c>
      <c r="D7" s="32">
        <f>C7/SUM($C$6:$C$13)</f>
        <v/>
      </c>
    </row>
    <row r="8">
      <c r="A8" s="34" t="inlineStr">
        <is>
          <t>C</t>
        </is>
      </c>
      <c r="B8" s="31" t="inlineStr">
        <is>
          <t>C. 佔用型—騎樓被店家/攤販/雜物佔用</t>
        </is>
      </c>
      <c r="C8" s="31">
        <f>COUNTIF(原始資料!$B$2:$B$61,A8)</f>
        <v/>
      </c>
      <c r="D8" s="32">
        <f>C8/SUM($C$6:$C$13)</f>
        <v/>
      </c>
    </row>
    <row r="9">
      <c r="A9" s="35" t="inlineStr">
        <is>
          <t>D</t>
        </is>
      </c>
      <c r="B9" s="31" t="inlineStr">
        <is>
          <t>D. 缺席型—根本沒有人行道</t>
        </is>
      </c>
      <c r="C9" s="31">
        <f>COUNTIF(原始資料!$B$2:$B$61,A9)</f>
        <v/>
      </c>
      <c r="D9" s="32">
        <f>C9/SUM($C$6:$C$13)</f>
        <v/>
      </c>
    </row>
    <row r="10">
      <c r="A10" s="36" t="inlineStr">
        <is>
          <t>E</t>
        </is>
      </c>
      <c r="B10" s="31" t="inlineStr">
        <is>
          <t>E. 設計失敗型—標線型人行道與障礙物</t>
        </is>
      </c>
      <c r="C10" s="31">
        <f>COUNTIF(原始資料!$B$2:$B$61,A10)</f>
        <v/>
      </c>
      <c r="D10" s="32">
        <f>C10/SUM($C$6:$C$13)</f>
        <v/>
      </c>
    </row>
    <row r="11">
      <c r="A11" s="37" t="inlineStr">
        <is>
          <t>F</t>
        </is>
      </c>
      <c r="B11" s="31" t="inlineStr">
        <is>
          <t>F. 制度挫折型—檢舉限縮/罰則/主管機關</t>
        </is>
      </c>
      <c r="C11" s="31">
        <f>COUNTIF(原始資料!$B$2:$B$61,A11)</f>
        <v/>
      </c>
      <c r="D11" s="32">
        <f>C11/SUM($C$6:$C$13)</f>
        <v/>
      </c>
    </row>
    <row r="12">
      <c r="A12" s="38" t="inlineStr">
        <is>
          <t>G</t>
        </is>
      </c>
      <c r="B12" s="31" t="inlineStr">
        <is>
          <t>G. 安全恐懼型—事故/身障/國賠</t>
        </is>
      </c>
      <c r="C12" s="31">
        <f>COUNTIF(原始資料!$B$2:$B$61,A12)</f>
        <v/>
      </c>
      <c r="D12" s="32">
        <f>C12/SUM($C$6:$C$13)</f>
        <v/>
      </c>
    </row>
    <row r="13">
      <c r="A13" s="39" t="inlineStr">
        <is>
          <t>H</t>
        </is>
      </c>
      <c r="B13" s="31" t="inlineStr">
        <is>
          <t>H. 反彈方—工程衝突對照組（非行人路權視角）</t>
        </is>
      </c>
      <c r="C13" s="31">
        <f>COUNTIF(原始資料!$B$2:$B$61,A13)</f>
        <v/>
      </c>
      <c r="D13" s="32">
        <f>C13/SUM($C$6:$C$13)</f>
        <v/>
      </c>
    </row>
    <row r="14">
      <c r="A14" s="40" t="n"/>
      <c r="B14" s="41" t="inlineStr">
        <is>
          <t>合計</t>
        </is>
      </c>
      <c r="C14" s="41">
        <f>SUM(C6:C13)</f>
        <v/>
      </c>
      <c r="D14" s="42">
        <f>SUM(D6:D13)</f>
        <v/>
      </c>
    </row>
    <row r="17">
      <c r="A17" s="28" t="inlineStr">
        <is>
          <t>表二、平台 × 痛點類別 交叉分析</t>
        </is>
      </c>
    </row>
    <row r="18">
      <c r="A18" s="43" t="inlineStr">
        <is>
          <t>平台</t>
        </is>
      </c>
      <c r="B18" s="29" t="inlineStr">
        <is>
          <t>A</t>
        </is>
      </c>
      <c r="C18" s="29" t="inlineStr">
        <is>
          <t>B</t>
        </is>
      </c>
      <c r="D18" s="29" t="inlineStr">
        <is>
          <t>C</t>
        </is>
      </c>
      <c r="E18" s="29" t="inlineStr">
        <is>
          <t>D</t>
        </is>
      </c>
      <c r="F18" s="29" t="inlineStr">
        <is>
          <t>E</t>
        </is>
      </c>
      <c r="G18" s="29" t="inlineStr">
        <is>
          <t>F</t>
        </is>
      </c>
      <c r="H18" s="29" t="inlineStr">
        <is>
          <t>G</t>
        </is>
      </c>
      <c r="I18" s="29" t="inlineStr">
        <is>
          <t>H</t>
        </is>
      </c>
      <c r="J18" s="29" t="inlineStr">
        <is>
          <t>總計</t>
        </is>
      </c>
    </row>
    <row r="19">
      <c r="A19" s="44" t="inlineStr">
        <is>
          <t>PTT</t>
        </is>
      </c>
      <c r="B19" s="45">
        <f>COUNTIFS(原始資料!$D$2:$D$61,$A19,原始資料!$B$2:$B$61,B$18)</f>
        <v/>
      </c>
      <c r="C19" s="45">
        <f>COUNTIFS(原始資料!$D$2:$D$61,$A19,原始資料!$B$2:$B$61,C$18)</f>
        <v/>
      </c>
      <c r="D19" s="45">
        <f>COUNTIFS(原始資料!$D$2:$D$61,$A19,原始資料!$B$2:$B$61,D$18)</f>
        <v/>
      </c>
      <c r="E19" s="45">
        <f>COUNTIFS(原始資料!$D$2:$D$61,$A19,原始資料!$B$2:$B$61,E$18)</f>
        <v/>
      </c>
      <c r="F19" s="45">
        <f>COUNTIFS(原始資料!$D$2:$D$61,$A19,原始資料!$B$2:$B$61,F$18)</f>
        <v/>
      </c>
      <c r="G19" s="45">
        <f>COUNTIFS(原始資料!$D$2:$D$61,$A19,原始資料!$B$2:$B$61,G$18)</f>
        <v/>
      </c>
      <c r="H19" s="45">
        <f>COUNTIFS(原始資料!$D$2:$D$61,$A19,原始資料!$B$2:$B$61,H$18)</f>
        <v/>
      </c>
      <c r="I19" s="45">
        <f>COUNTIFS(原始資料!$D$2:$D$61,$A19,原始資料!$B$2:$B$61,I$18)</f>
        <v/>
      </c>
      <c r="J19" s="45">
        <f>SUM(B19:I19)</f>
        <v/>
      </c>
    </row>
    <row r="20">
      <c r="A20" s="44" t="inlineStr">
        <is>
          <t>Dcard</t>
        </is>
      </c>
      <c r="B20" s="45">
        <f>COUNTIFS(原始資料!$D$2:$D$61,$A20,原始資料!$B$2:$B$61,B$18)</f>
        <v/>
      </c>
      <c r="C20" s="45">
        <f>COUNTIFS(原始資料!$D$2:$D$61,$A20,原始資料!$B$2:$B$61,C$18)</f>
        <v/>
      </c>
      <c r="D20" s="45">
        <f>COUNTIFS(原始資料!$D$2:$D$61,$A20,原始資料!$B$2:$B$61,D$18)</f>
        <v/>
      </c>
      <c r="E20" s="45">
        <f>COUNTIFS(原始資料!$D$2:$D$61,$A20,原始資料!$B$2:$B$61,E$18)</f>
        <v/>
      </c>
      <c r="F20" s="45">
        <f>COUNTIFS(原始資料!$D$2:$D$61,$A20,原始資料!$B$2:$B$61,F$18)</f>
        <v/>
      </c>
      <c r="G20" s="45">
        <f>COUNTIFS(原始資料!$D$2:$D$61,$A20,原始資料!$B$2:$B$61,G$18)</f>
        <v/>
      </c>
      <c r="H20" s="45">
        <f>COUNTIFS(原始資料!$D$2:$D$61,$A20,原始資料!$B$2:$B$61,H$18)</f>
        <v/>
      </c>
      <c r="I20" s="45">
        <f>COUNTIFS(原始資料!$D$2:$D$61,$A20,原始資料!$B$2:$B$61,I$18)</f>
        <v/>
      </c>
      <c r="J20" s="45">
        <f>SUM(B20:I20)</f>
        <v/>
      </c>
    </row>
    <row r="21">
      <c r="A21" s="44" t="inlineStr">
        <is>
          <t>Threads</t>
        </is>
      </c>
      <c r="B21" s="45">
        <f>COUNTIFS(原始資料!$D$2:$D$61,$A21,原始資料!$B$2:$B$61,B$18)</f>
        <v/>
      </c>
      <c r="C21" s="45">
        <f>COUNTIFS(原始資料!$D$2:$D$61,$A21,原始資料!$B$2:$B$61,C$18)</f>
        <v/>
      </c>
      <c r="D21" s="45">
        <f>COUNTIFS(原始資料!$D$2:$D$61,$A21,原始資料!$B$2:$B$61,D$18)</f>
        <v/>
      </c>
      <c r="E21" s="45">
        <f>COUNTIFS(原始資料!$D$2:$D$61,$A21,原始資料!$B$2:$B$61,E$18)</f>
        <v/>
      </c>
      <c r="F21" s="45">
        <f>COUNTIFS(原始資料!$D$2:$D$61,$A21,原始資料!$B$2:$B$61,F$18)</f>
        <v/>
      </c>
      <c r="G21" s="45">
        <f>COUNTIFS(原始資料!$D$2:$D$61,$A21,原始資料!$B$2:$B$61,G$18)</f>
        <v/>
      </c>
      <c r="H21" s="45">
        <f>COUNTIFS(原始資料!$D$2:$D$61,$A21,原始資料!$B$2:$B$61,H$18)</f>
        <v/>
      </c>
      <c r="I21" s="45">
        <f>COUNTIFS(原始資料!$D$2:$D$61,$A21,原始資料!$B$2:$B$61,I$18)</f>
        <v/>
      </c>
      <c r="J21" s="45">
        <f>SUM(B21:I21)</f>
        <v/>
      </c>
    </row>
    <row r="22">
      <c r="A22" s="44" t="inlineStr">
        <is>
          <t>Mobile01</t>
        </is>
      </c>
      <c r="B22" s="45">
        <f>COUNTIFS(原始資料!$D$2:$D$61,$A22,原始資料!$B$2:$B$61,B$18)</f>
        <v/>
      </c>
      <c r="C22" s="45">
        <f>COUNTIFS(原始資料!$D$2:$D$61,$A22,原始資料!$B$2:$B$61,C$18)</f>
        <v/>
      </c>
      <c r="D22" s="45">
        <f>COUNTIFS(原始資料!$D$2:$D$61,$A22,原始資料!$B$2:$B$61,D$18)</f>
        <v/>
      </c>
      <c r="E22" s="45">
        <f>COUNTIFS(原始資料!$D$2:$D$61,$A22,原始資料!$B$2:$B$61,E$18)</f>
        <v/>
      </c>
      <c r="F22" s="45">
        <f>COUNTIFS(原始資料!$D$2:$D$61,$A22,原始資料!$B$2:$B$61,F$18)</f>
        <v/>
      </c>
      <c r="G22" s="45">
        <f>COUNTIFS(原始資料!$D$2:$D$61,$A22,原始資料!$B$2:$B$61,G$18)</f>
        <v/>
      </c>
      <c r="H22" s="45">
        <f>COUNTIFS(原始資料!$D$2:$D$61,$A22,原始資料!$B$2:$B$61,H$18)</f>
        <v/>
      </c>
      <c r="I22" s="45">
        <f>COUNTIFS(原始資料!$D$2:$D$61,$A22,原始資料!$B$2:$B$61,I$18)</f>
        <v/>
      </c>
      <c r="J22" s="45">
        <f>SUM(B22:I22)</f>
        <v/>
      </c>
    </row>
    <row r="23">
      <c r="A23" s="44" t="inlineStr">
        <is>
          <t>新聞媒體</t>
        </is>
      </c>
      <c r="B23" s="45">
        <f>COUNTIFS(原始資料!$D$2:$D$61,$A23,原始資料!$B$2:$B$61,B$18)</f>
        <v/>
      </c>
      <c r="C23" s="45">
        <f>COUNTIFS(原始資料!$D$2:$D$61,$A23,原始資料!$B$2:$B$61,C$18)</f>
        <v/>
      </c>
      <c r="D23" s="45">
        <f>COUNTIFS(原始資料!$D$2:$D$61,$A23,原始資料!$B$2:$B$61,D$18)</f>
        <v/>
      </c>
      <c r="E23" s="45">
        <f>COUNTIFS(原始資料!$D$2:$D$61,$A23,原始資料!$B$2:$B$61,E$18)</f>
        <v/>
      </c>
      <c r="F23" s="45">
        <f>COUNTIFS(原始資料!$D$2:$D$61,$A23,原始資料!$B$2:$B$61,F$18)</f>
        <v/>
      </c>
      <c r="G23" s="45">
        <f>COUNTIFS(原始資料!$D$2:$D$61,$A23,原始資料!$B$2:$B$61,G$18)</f>
        <v/>
      </c>
      <c r="H23" s="45">
        <f>COUNTIFS(原始資料!$D$2:$D$61,$A23,原始資料!$B$2:$B$61,H$18)</f>
        <v/>
      </c>
      <c r="I23" s="45">
        <f>COUNTIFS(原始資料!$D$2:$D$61,$A23,原始資料!$B$2:$B$61,I$18)</f>
        <v/>
      </c>
      <c r="J23" s="45">
        <f>SUM(B23:I23)</f>
        <v/>
      </c>
    </row>
    <row r="24">
      <c r="A24" s="44" t="inlineStr">
        <is>
          <t>倡議媒體/團體</t>
        </is>
      </c>
      <c r="B24" s="45">
        <f>COUNTIFS(原始資料!$D$2:$D$61,$A24,原始資料!$B$2:$B$61,B$18)</f>
        <v/>
      </c>
      <c r="C24" s="45">
        <f>COUNTIFS(原始資料!$D$2:$D$61,$A24,原始資料!$B$2:$B$61,C$18)</f>
        <v/>
      </c>
      <c r="D24" s="45">
        <f>COUNTIFS(原始資料!$D$2:$D$61,$A24,原始資料!$B$2:$B$61,D$18)</f>
        <v/>
      </c>
      <c r="E24" s="45">
        <f>COUNTIFS(原始資料!$D$2:$D$61,$A24,原始資料!$B$2:$B$61,E$18)</f>
        <v/>
      </c>
      <c r="F24" s="45">
        <f>COUNTIFS(原始資料!$D$2:$D$61,$A24,原始資料!$B$2:$B$61,F$18)</f>
        <v/>
      </c>
      <c r="G24" s="45">
        <f>COUNTIFS(原始資料!$D$2:$D$61,$A24,原始資料!$B$2:$B$61,G$18)</f>
        <v/>
      </c>
      <c r="H24" s="45">
        <f>COUNTIFS(原始資料!$D$2:$D$61,$A24,原始資料!$B$2:$B$61,H$18)</f>
        <v/>
      </c>
      <c r="I24" s="45">
        <f>COUNTIFS(原始資料!$D$2:$D$61,$A24,原始資料!$B$2:$B$61,I$18)</f>
        <v/>
      </c>
      <c r="J24" s="45">
        <f>SUM(B24:I24)</f>
        <v/>
      </c>
    </row>
    <row r="25">
      <c r="A25" s="44" t="inlineStr">
        <is>
          <t>官方平台(join.gov.tw)</t>
        </is>
      </c>
      <c r="B25" s="45">
        <f>COUNTIFS(原始資料!$D$2:$D$61,$A25,原始資料!$B$2:$B$61,B$18)</f>
        <v/>
      </c>
      <c r="C25" s="45">
        <f>COUNTIFS(原始資料!$D$2:$D$61,$A25,原始資料!$B$2:$B$61,C$18)</f>
        <v/>
      </c>
      <c r="D25" s="45">
        <f>COUNTIFS(原始資料!$D$2:$D$61,$A25,原始資料!$B$2:$B$61,D$18)</f>
        <v/>
      </c>
      <c r="E25" s="45">
        <f>COUNTIFS(原始資料!$D$2:$D$61,$A25,原始資料!$B$2:$B$61,E$18)</f>
        <v/>
      </c>
      <c r="F25" s="45">
        <f>COUNTIFS(原始資料!$D$2:$D$61,$A25,原始資料!$B$2:$B$61,F$18)</f>
        <v/>
      </c>
      <c r="G25" s="45">
        <f>COUNTIFS(原始資料!$D$2:$D$61,$A25,原始資料!$B$2:$B$61,G$18)</f>
        <v/>
      </c>
      <c r="H25" s="45">
        <f>COUNTIFS(原始資料!$D$2:$D$61,$A25,原始資料!$B$2:$B$61,H$18)</f>
        <v/>
      </c>
      <c r="I25" s="45">
        <f>COUNTIFS(原始資料!$D$2:$D$61,$A25,原始資料!$B$2:$B$61,I$18)</f>
        <v/>
      </c>
      <c r="J25" s="45">
        <f>SUM(B25:I25)</f>
        <v/>
      </c>
    </row>
    <row r="26">
      <c r="A26" s="44" t="inlineStr">
        <is>
          <t>其他(法律/YouTube)</t>
        </is>
      </c>
      <c r="B26" s="45">
        <f>COUNTIFS(原始資料!$D$2:$D$61,$A26,原始資料!$B$2:$B$61,B$18)</f>
        <v/>
      </c>
      <c r="C26" s="45">
        <f>COUNTIFS(原始資料!$D$2:$D$61,$A26,原始資料!$B$2:$B$61,C$18)</f>
        <v/>
      </c>
      <c r="D26" s="45">
        <f>COUNTIFS(原始資料!$D$2:$D$61,$A26,原始資料!$B$2:$B$61,D$18)</f>
        <v/>
      </c>
      <c r="E26" s="45">
        <f>COUNTIFS(原始資料!$D$2:$D$61,$A26,原始資料!$B$2:$B$61,E$18)</f>
        <v/>
      </c>
      <c r="F26" s="45">
        <f>COUNTIFS(原始資料!$D$2:$D$61,$A26,原始資料!$B$2:$B$61,F$18)</f>
        <v/>
      </c>
      <c r="G26" s="45">
        <f>COUNTIFS(原始資料!$D$2:$D$61,$A26,原始資料!$B$2:$B$61,G$18)</f>
        <v/>
      </c>
      <c r="H26" s="45">
        <f>COUNTIFS(原始資料!$D$2:$D$61,$A26,原始資料!$B$2:$B$61,H$18)</f>
        <v/>
      </c>
      <c r="I26" s="45">
        <f>COUNTIFS(原始資料!$D$2:$D$61,$A26,原始資料!$B$2:$B$61,I$18)</f>
        <v/>
      </c>
      <c r="J26" s="45">
        <f>SUM(B26:I26)</f>
        <v/>
      </c>
    </row>
    <row r="27">
      <c r="A27" s="24" t="inlineStr">
        <is>
          <t>總計</t>
        </is>
      </c>
      <c r="B27" s="46">
        <f>SUM(B19:B26)</f>
        <v/>
      </c>
      <c r="C27" s="46">
        <f>SUM(C19:C26)</f>
        <v/>
      </c>
      <c r="D27" s="46">
        <f>SUM(D19:D26)</f>
        <v/>
      </c>
      <c r="E27" s="46">
        <f>SUM(E19:E26)</f>
        <v/>
      </c>
      <c r="F27" s="46">
        <f>SUM(F19:F26)</f>
        <v/>
      </c>
      <c r="G27" s="46">
        <f>SUM(G19:G26)</f>
        <v/>
      </c>
      <c r="H27" s="46">
        <f>SUM(H19:H26)</f>
        <v/>
      </c>
      <c r="I27" s="46">
        <f>SUM(I19:I26)</f>
        <v/>
      </c>
      <c r="J27" s="46">
        <f>SUM(J19:J26)</f>
        <v/>
      </c>
    </row>
    <row r="30">
      <c r="A30" s="28" t="inlineStr">
        <is>
          <t>表三、發言立場次數分配</t>
        </is>
      </c>
    </row>
    <row r="31">
      <c r="A31" s="29" t="inlineStr">
        <is>
          <t>立場</t>
        </is>
      </c>
      <c r="B31" s="29" t="inlineStr">
        <is>
          <t>次數</t>
        </is>
      </c>
      <c r="C31" s="29" t="inlineStr">
        <is>
          <t>百分比</t>
        </is>
      </c>
    </row>
    <row r="32">
      <c r="A32" s="31" t="inlineStr">
        <is>
          <t>行人路權方</t>
        </is>
      </c>
      <c r="B32" s="31">
        <f>COUNTIF(原始資料!$J$2:$J$61,A32)</f>
        <v/>
      </c>
      <c r="C32" s="32">
        <f>B32/SUM($B$32:$B$39)</f>
        <v/>
      </c>
    </row>
    <row r="33">
      <c r="A33" s="31" t="inlineStr">
        <is>
          <t>機車騎士方</t>
        </is>
      </c>
      <c r="B33" s="31">
        <f>COUNTIF(原始資料!$J$2:$J$61,A33)</f>
        <v/>
      </c>
      <c r="C33" s="32">
        <f>B33/SUM($B$32:$B$39)</f>
        <v/>
      </c>
    </row>
    <row r="34">
      <c r="A34" s="31" t="inlineStr">
        <is>
          <t>汽車駕駛方</t>
        </is>
      </c>
      <c r="B34" s="31">
        <f>COUNTIF(原始資料!$J$2:$J$61,A34)</f>
        <v/>
      </c>
      <c r="C34" s="32">
        <f>B34/SUM($B$32:$B$39)</f>
        <v/>
      </c>
    </row>
    <row r="35">
      <c r="A35" s="31" t="inlineStr">
        <is>
          <t>店家/里長方</t>
        </is>
      </c>
      <c r="B35" s="31">
        <f>COUNTIF(原始資料!$J$2:$J$61,A35)</f>
        <v/>
      </c>
      <c r="C35" s="32">
        <f>B35/SUM($B$32:$B$39)</f>
        <v/>
      </c>
    </row>
    <row r="36">
      <c r="A36" s="31" t="inlineStr">
        <is>
          <t>身障/視障方</t>
        </is>
      </c>
      <c r="B36" s="31">
        <f>COUNTIF(原始資料!$J$2:$J$61,A36)</f>
        <v/>
      </c>
      <c r="C36" s="32">
        <f>B36/SUM($B$32:$B$39)</f>
        <v/>
      </c>
    </row>
    <row r="37">
      <c r="A37" s="31" t="inlineStr">
        <is>
          <t>政府/中立敘事</t>
        </is>
      </c>
      <c r="B37" s="31">
        <f>COUNTIF(原始資料!$J$2:$J$61,A37)</f>
        <v/>
      </c>
      <c r="C37" s="32">
        <f>B37/SUM($B$32:$B$39)</f>
        <v/>
      </c>
    </row>
    <row r="38">
      <c r="A38" s="31" t="inlineStr">
        <is>
          <t>中立敘事</t>
        </is>
      </c>
      <c r="B38" s="31">
        <f>COUNTIF(原始資料!$J$2:$J$61,A38)</f>
        <v/>
      </c>
      <c r="C38" s="32">
        <f>B38/SUM($B$32:$B$39)</f>
        <v/>
      </c>
    </row>
    <row r="39">
      <c r="A39" s="31" t="inlineStr">
        <is>
          <t>倡議團體</t>
        </is>
      </c>
      <c r="B39" s="31">
        <f>COUNTIF(原始資料!$J$2:$J$61,A39)</f>
        <v/>
      </c>
      <c r="C39" s="32">
        <f>B39/SUM($B$32:$B$39)</f>
        <v/>
      </c>
    </row>
    <row r="40">
      <c r="A40" s="24" t="inlineStr">
        <is>
          <t>合計</t>
        </is>
      </c>
      <c r="B40" s="24">
        <f>SUM(B32:B39)</f>
        <v/>
      </c>
      <c r="C40" s="47">
        <f>SUM(C32:C39)</f>
        <v/>
      </c>
    </row>
    <row r="43">
      <c r="A43" s="28" t="inlineStr">
        <is>
          <t>表四、情緒框架次數分配</t>
        </is>
      </c>
    </row>
    <row r="44">
      <c r="A44" s="29" t="inlineStr">
        <is>
          <t>情緒框架</t>
        </is>
      </c>
      <c r="B44" s="29" t="inlineStr">
        <is>
          <t>次數</t>
        </is>
      </c>
      <c r="C44" s="29" t="inlineStr">
        <is>
          <t>百分比</t>
        </is>
      </c>
    </row>
    <row r="45">
      <c r="A45" s="31" t="inlineStr">
        <is>
          <t>憤怒</t>
        </is>
      </c>
      <c r="B45" s="31">
        <f>COUNTIF(原始資料!$K$2:$K$61,A45)</f>
        <v/>
      </c>
      <c r="C45" s="32">
        <f>B45/SUM($B$45:$B$50)</f>
        <v/>
      </c>
    </row>
    <row r="46">
      <c r="A46" s="31" t="inlineStr">
        <is>
          <t>無力感</t>
        </is>
      </c>
      <c r="B46" s="31">
        <f>COUNTIF(原始資料!$K$2:$K$61,A46)</f>
        <v/>
      </c>
      <c r="C46" s="32">
        <f>B46/SUM($B$45:$B$50)</f>
        <v/>
      </c>
    </row>
    <row r="47">
      <c r="A47" s="31" t="inlineStr">
        <is>
          <t>嘲諷/迷因化</t>
        </is>
      </c>
      <c r="B47" s="31">
        <f>COUNTIF(原始資料!$K$2:$K$61,A47)</f>
        <v/>
      </c>
      <c r="C47" s="32">
        <f>B47/SUM($B$45:$B$50)</f>
        <v/>
      </c>
    </row>
    <row r="48">
      <c r="A48" s="31" t="inlineStr">
        <is>
          <t>恐懼</t>
        </is>
      </c>
      <c r="B48" s="31">
        <f>COUNTIF(原始資料!$K$2:$K$61,A48)</f>
        <v/>
      </c>
      <c r="C48" s="32">
        <f>B48/SUM($B$45:$B$50)</f>
        <v/>
      </c>
    </row>
    <row r="49">
      <c r="A49" s="31" t="inlineStr">
        <is>
          <t>剝奪感/城鄉落差</t>
        </is>
      </c>
      <c r="B49" s="31">
        <f>COUNTIF(原始資料!$K$2:$K$61,A49)</f>
        <v/>
      </c>
      <c r="C49" s="32">
        <f>B49/SUM($B$45:$B$50)</f>
        <v/>
      </c>
    </row>
    <row r="50">
      <c r="A50" s="31" t="inlineStr">
        <is>
          <t>羞辱感/國際比較</t>
        </is>
      </c>
      <c r="B50" s="31">
        <f>COUNTIF(原始資料!$K$2:$K$61,A50)</f>
        <v/>
      </c>
      <c r="C50" s="32">
        <f>B50/SUM($B$45:$B$50)</f>
        <v/>
      </c>
    </row>
    <row r="51">
      <c r="A51" s="24" t="inlineStr">
        <is>
          <t>合計</t>
        </is>
      </c>
      <c r="B51" s="24">
        <f>SUM(B45:B50)</f>
        <v/>
      </c>
      <c r="C51" s="47">
        <f>SUM(C45:C50)</f>
        <v/>
      </c>
    </row>
    <row r="54">
      <c r="A54" s="28" t="inlineStr">
        <is>
          <t>表五、高互動貼文 Top 5（依讚數）</t>
        </is>
      </c>
    </row>
    <row r="55">
      <c r="A55" s="29" t="inlineStr">
        <is>
          <t>排名</t>
        </is>
      </c>
      <c r="B55" s="29" t="inlineStr">
        <is>
          <t>編號</t>
        </is>
      </c>
      <c r="C55" s="29" t="inlineStr">
        <is>
          <t>類別</t>
        </is>
      </c>
      <c r="D55" s="29" t="inlineStr">
        <is>
          <t>標題</t>
        </is>
      </c>
      <c r="E55" s="29" t="inlineStr">
        <is>
          <t>讚數</t>
        </is>
      </c>
      <c r="F55" s="29" t="inlineStr">
        <is>
          <t>連結</t>
        </is>
      </c>
    </row>
    <row r="56">
      <c r="A56" s="31" t="n">
        <v>1</v>
      </c>
      <c r="B56" s="31">
        <f>INDEX(原始資料!$A$2:$A$61,MATCH(E56,原始資料!$I$2:$I$61,0))</f>
        <v/>
      </c>
      <c r="C56" s="31">
        <f>INDEX(原始資料!$B$2:$B$61,MATCH(E56,原始資料!$I$2:$I$61,0))</f>
        <v/>
      </c>
      <c r="D56" s="31">
        <f>INDEX(原始資料!$F$2:$F$61,MATCH(E56,原始資料!$I$2:$I$61,0))</f>
        <v/>
      </c>
      <c r="E56" s="48">
        <f>LARGE(原始資料!$I$2:$I$61,1)</f>
        <v/>
      </c>
      <c r="F56" s="49">
        <f>INDEX(原始資料!$G$2:$G$61,MATCH(E56,原始資料!$I$2:$I$61,0))</f>
        <v/>
      </c>
    </row>
    <row r="57">
      <c r="A57" s="31" t="n">
        <v>2</v>
      </c>
      <c r="B57" s="31">
        <f>INDEX(原始資料!$A$2:$A$61,MATCH(E57,原始資料!$I$2:$I$61,0))</f>
        <v/>
      </c>
      <c r="C57" s="31">
        <f>INDEX(原始資料!$B$2:$B$61,MATCH(E57,原始資料!$I$2:$I$61,0))</f>
        <v/>
      </c>
      <c r="D57" s="31">
        <f>INDEX(原始資料!$F$2:$F$61,MATCH(E57,原始資料!$I$2:$I$61,0))</f>
        <v/>
      </c>
      <c r="E57" s="48">
        <f>LARGE(原始資料!$I$2:$I$61,2)</f>
        <v/>
      </c>
      <c r="F57" s="49">
        <f>INDEX(原始資料!$G$2:$G$61,MATCH(E57,原始資料!$I$2:$I$61,0))</f>
        <v/>
      </c>
    </row>
    <row r="58">
      <c r="A58" s="31" t="n">
        <v>3</v>
      </c>
      <c r="B58" s="31">
        <f>INDEX(原始資料!$A$2:$A$61,MATCH(E58,原始資料!$I$2:$I$61,0))</f>
        <v/>
      </c>
      <c r="C58" s="31">
        <f>INDEX(原始資料!$B$2:$B$61,MATCH(E58,原始資料!$I$2:$I$61,0))</f>
        <v/>
      </c>
      <c r="D58" s="31">
        <f>INDEX(原始資料!$F$2:$F$61,MATCH(E58,原始資料!$I$2:$I$61,0))</f>
        <v/>
      </c>
      <c r="E58" s="48">
        <f>LARGE(原始資料!$I$2:$I$61,3)</f>
        <v/>
      </c>
      <c r="F58" s="49">
        <f>INDEX(原始資料!$G$2:$G$61,MATCH(E58,原始資料!$I$2:$I$61,0))</f>
        <v/>
      </c>
    </row>
    <row r="59">
      <c r="A59" s="31" t="n">
        <v>4</v>
      </c>
      <c r="B59" s="31">
        <f>INDEX(原始資料!$A$2:$A$61,MATCH(E59,原始資料!$I$2:$I$61,0))</f>
        <v/>
      </c>
      <c r="C59" s="31">
        <f>INDEX(原始資料!$B$2:$B$61,MATCH(E59,原始資料!$I$2:$I$61,0))</f>
        <v/>
      </c>
      <c r="D59" s="31">
        <f>INDEX(原始資料!$F$2:$F$61,MATCH(E59,原始資料!$I$2:$I$61,0))</f>
        <v/>
      </c>
      <c r="E59" s="48">
        <f>LARGE(原始資料!$I$2:$I$61,4)</f>
        <v/>
      </c>
      <c r="F59" s="49">
        <f>INDEX(原始資料!$G$2:$G$61,MATCH(E59,原始資料!$I$2:$I$61,0))</f>
        <v/>
      </c>
    </row>
    <row r="60">
      <c r="A60" s="31" t="n">
        <v>5</v>
      </c>
      <c r="B60" s="31">
        <f>INDEX(原始資料!$A$2:$A$61,MATCH(E60,原始資料!$I$2:$I$61,0))</f>
        <v/>
      </c>
      <c r="C60" s="31">
        <f>INDEX(原始資料!$B$2:$B$61,MATCH(E60,原始資料!$I$2:$I$61,0))</f>
        <v/>
      </c>
      <c r="D60" s="31">
        <f>INDEX(原始資料!$F$2:$F$61,MATCH(E60,原始資料!$I$2:$I$61,0))</f>
        <v/>
      </c>
      <c r="E60" s="48">
        <f>LARGE(原始資料!$I$2:$I$61,5)</f>
        <v/>
      </c>
      <c r="F60" s="49">
        <f>INDEX(原始資料!$G$2:$G$61,MATCH(E60,原始資料!$I$2:$I$61,0))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2026-07-02T03:22:03Z</dcterms:created>
  <dcterms:modified xmlns:dcterms="http://purl.org/dc/terms/" xmlns:xsi="http://www.w3.org/2001/XMLSchema-instance" xsi:type="dcterms:W3CDTF">2026-07-02T03:22:03Z</dcterms:modified>
</cp:coreProperties>
</file>